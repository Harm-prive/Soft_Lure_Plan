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231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68d5ed352cac11a4/_Prive/_Investeringen/_CryptoCoiners/"/>
    </mc:Choice>
  </mc:AlternateContent>
  <xr:revisionPtr revIDLastSave="15" documentId="8_{A5D56CED-23FB-47C9-B266-B1685A2755F0}" xr6:coauthVersionLast="47" xr6:coauthVersionMax="47" xr10:uidLastSave="{7FC5EA53-59FE-45D8-BE74-8AA96B384754}"/>
  <bookViews>
    <workbookView xWindow="15585" yWindow="1395" windowWidth="27420" windowHeight="17835" xr2:uid="{90061C08-239E-48CA-AE35-142083C2C337}"/>
  </bookViews>
  <sheets>
    <sheet name="SL positie en-of Max instap" sheetId="1" r:id="rId1"/>
    <sheet name="Versiebeheer" sheetId="2" r:id="rId2"/>
  </sheets>
  <externalReferences>
    <externalReference r:id="rId3"/>
    <externalReference r:id="rId4"/>
  </externalReferences>
  <definedNames>
    <definedName name="Eind_BTC">#REF!</definedName>
    <definedName name="Eind_FeeCost_USDT">'[1]W1 2023'!$H$387</definedName>
    <definedName name="Eind_PeL_BTC">#REF!</definedName>
    <definedName name="Eind_PeL_USDT">#REF!</definedName>
    <definedName name="Eind_USDT">#REF!</definedName>
    <definedName name="Opmaak_Start">#REF!</definedName>
    <definedName name="Opmaak_Stop">#REF!</definedName>
    <definedName name="start_inleg">'[2]Resultaten Trades'!$I$5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C12" i="1" l="1"/>
  <c r="AC38" i="1"/>
  <c r="AC41" i="1" s="1"/>
  <c r="F44" i="1"/>
  <c r="V8" i="1"/>
  <c r="V9" i="1" s="1"/>
  <c r="V10" i="1" s="1"/>
  <c r="V11" i="1" s="1"/>
  <c r="V12" i="1" s="1"/>
  <c r="V13" i="1" s="1"/>
  <c r="V14" i="1" s="1"/>
  <c r="V15" i="1" s="1"/>
  <c r="V16" i="1" s="1"/>
  <c r="V17" i="1" s="1"/>
  <c r="V18" i="1" s="1"/>
  <c r="V19" i="1" s="1"/>
  <c r="V20" i="1" s="1"/>
  <c r="V21" i="1" s="1"/>
  <c r="V22" i="1" s="1"/>
  <c r="V23" i="1" s="1"/>
  <c r="V24" i="1" s="1"/>
  <c r="D37" i="1"/>
  <c r="N8" i="1"/>
  <c r="D41" i="1"/>
  <c r="D44" i="1" s="1"/>
  <c r="E41" i="1"/>
  <c r="E44" i="1" s="1"/>
  <c r="G42" i="1"/>
  <c r="G43" i="1"/>
  <c r="G44" i="1"/>
  <c r="P17" i="1"/>
  <c r="N17" i="1" s="1"/>
  <c r="D8" i="1"/>
  <c r="D12" i="1"/>
  <c r="D14" i="1" s="1"/>
  <c r="E12" i="1"/>
  <c r="E13" i="1" s="1"/>
  <c r="F12" i="1"/>
  <c r="F13" i="1" s="1"/>
  <c r="G13" i="1"/>
  <c r="G14" i="1"/>
  <c r="G15" i="1"/>
  <c r="M30" i="1"/>
  <c r="M31" i="1"/>
  <c r="M32" i="1"/>
  <c r="V37" i="1"/>
  <c r="V38" i="1" s="1"/>
  <c r="V39" i="1" s="1"/>
  <c r="V40" i="1" s="1"/>
  <c r="V41" i="1" s="1"/>
  <c r="V42" i="1" s="1"/>
  <c r="V43" i="1" s="1"/>
  <c r="V44" i="1" s="1"/>
  <c r="V45" i="1" s="1"/>
  <c r="V46" i="1" s="1"/>
  <c r="V47" i="1" s="1"/>
  <c r="V48" i="1" s="1"/>
  <c r="V49" i="1" s="1"/>
  <c r="V50" i="1" s="1"/>
  <c r="V51" i="1" s="1"/>
  <c r="V52" i="1" s="1"/>
  <c r="V53" i="1" s="1"/>
  <c r="V54" i="1" s="1"/>
  <c r="V55" i="1" s="1"/>
  <c r="V56" i="1" s="1"/>
  <c r="N37" i="1"/>
  <c r="P46" i="1"/>
  <c r="N46" i="1" s="1"/>
  <c r="M59" i="1"/>
  <c r="M60" i="1"/>
  <c r="M61" i="1"/>
  <c r="V57" i="1" l="1"/>
  <c r="V58" i="1" s="1"/>
  <c r="V59" i="1" s="1"/>
  <c r="V60" i="1" s="1"/>
  <c r="V61" i="1" s="1"/>
  <c r="V62" i="1" s="1"/>
  <c r="V63" i="1" s="1"/>
  <c r="V64" i="1" s="1"/>
  <c r="V65" i="1" s="1"/>
  <c r="V66" i="1" s="1"/>
  <c r="V67" i="1" s="1"/>
  <c r="V68" i="1" s="1"/>
  <c r="V69" i="1" s="1"/>
  <c r="D13" i="1"/>
  <c r="E43" i="1"/>
  <c r="D43" i="1"/>
  <c r="E42" i="1"/>
  <c r="H42" i="1" s="1"/>
  <c r="I42" i="1" s="1"/>
  <c r="F42" i="1"/>
  <c r="F43" i="1"/>
  <c r="E15" i="1"/>
  <c r="D15" i="1"/>
  <c r="D42" i="1"/>
  <c r="Y21" i="1"/>
  <c r="N49" i="1"/>
  <c r="N52" i="1" s="1"/>
  <c r="N47" i="1"/>
  <c r="N18" i="1"/>
  <c r="N20" i="1"/>
  <c r="N23" i="1" s="1"/>
  <c r="H13" i="1"/>
  <c r="I13" i="1" s="1"/>
  <c r="F14" i="1"/>
  <c r="H14" i="1" s="1"/>
  <c r="I14" i="1" s="1"/>
  <c r="F15" i="1"/>
  <c r="E14" i="1"/>
  <c r="V70" i="1" l="1"/>
  <c r="Y58" i="1"/>
  <c r="D16" i="1"/>
  <c r="H44" i="1"/>
  <c r="I44" i="1" s="1"/>
  <c r="H43" i="1"/>
  <c r="I43" i="1" s="1"/>
  <c r="D45" i="1"/>
  <c r="N21" i="1"/>
  <c r="N24" i="1" s="1"/>
  <c r="N25" i="1" s="1"/>
  <c r="N29" i="1" s="1"/>
  <c r="O32" i="1"/>
  <c r="O31" i="1"/>
  <c r="P31" i="1" s="1"/>
  <c r="O30" i="1"/>
  <c r="P30" i="1" s="1"/>
  <c r="H15" i="1"/>
  <c r="I15" i="1" s="1"/>
  <c r="N50" i="1"/>
  <c r="N53" i="1" s="1"/>
  <c r="N54" i="1" s="1"/>
  <c r="N58" i="1" s="1"/>
  <c r="O61" i="1"/>
  <c r="O60" i="1"/>
  <c r="P60" i="1" s="1"/>
  <c r="O59" i="1"/>
  <c r="P59" i="1" s="1"/>
  <c r="P61" i="1" l="1"/>
  <c r="P32" i="1"/>
  <c r="M54" i="1"/>
  <c r="O54" i="1"/>
  <c r="O25" i="1"/>
  <c r="M25" i="1"/>
  <c r="N32" i="1" l="1"/>
  <c r="N31" i="1"/>
  <c r="N30" i="1"/>
  <c r="N61" i="1"/>
  <c r="N60" i="1"/>
  <c r="N59" i="1"/>
  <c r="N62" i="1" l="1"/>
  <c r="Q59" i="1"/>
  <c r="R59" i="1" s="1"/>
  <c r="Q60" i="1"/>
  <c r="R60" i="1" s="1"/>
  <c r="Q61" i="1"/>
  <c r="R61" i="1" s="1"/>
  <c r="Q30" i="1"/>
  <c r="R30" i="1" s="1"/>
  <c r="Q32" i="1"/>
  <c r="R32" i="1" s="1"/>
  <c r="N33" i="1"/>
  <c r="Q31" i="1"/>
  <c r="R31" i="1" s="1"/>
</calcChain>
</file>

<file path=xl/sharedStrings.xml><?xml version="1.0" encoding="utf-8"?>
<sst xmlns="http://schemas.openxmlformats.org/spreadsheetml/2006/main" count="174" uniqueCount="81">
  <si>
    <t>Voorbeeld berekening Maximale SL positie</t>
  </si>
  <si>
    <t>Voorbeeld berekening instap $ o.b.v. Breedte BB</t>
  </si>
  <si>
    <t xml:space="preserve">Invoerveld &gt; </t>
  </si>
  <si>
    <t>Voorbeeld-1 TB=33% (1/3)</t>
  </si>
  <si>
    <t>Voorbeeld-1</t>
  </si>
  <si>
    <t>Max instap op basis van BB</t>
  </si>
  <si>
    <t>BB 1,00%</t>
  </si>
  <si>
    <t>Visueel voorbeeld</t>
  </si>
  <si>
    <t>Methode Roelf</t>
  </si>
  <si>
    <t>Portfolio (PF)</t>
  </si>
  <si>
    <t>&lt; Voorbeeld bedrag</t>
  </si>
  <si>
    <t>BE na instap</t>
  </si>
  <si>
    <t>Strategie-1 Trade Budget (TB)</t>
  </si>
  <si>
    <t>&lt; Strategie-2 spreiding risico: maximaal 3 trades tegelijk</t>
  </si>
  <si>
    <t>Check</t>
  </si>
  <si>
    <t>Instap</t>
  </si>
  <si>
    <t>Strategie max verlies van PF</t>
  </si>
  <si>
    <t>Strategie-2 max verlies van PF</t>
  </si>
  <si>
    <t>Breedte BB</t>
  </si>
  <si>
    <t>BE2 na 1e bijkoop</t>
  </si>
  <si>
    <t>Berekening</t>
  </si>
  <si>
    <t>= 1% / (2*Bb%)</t>
  </si>
  <si>
    <t>Trade-1</t>
  </si>
  <si>
    <t>Trade-2</t>
  </si>
  <si>
    <t>Trade-3</t>
  </si>
  <si>
    <t>Max SL positie onder BE</t>
  </si>
  <si>
    <t>max verlies op inleg per Trade</t>
  </si>
  <si>
    <t>Verlies op PF</t>
  </si>
  <si>
    <t>Trade in %:</t>
  </si>
  <si>
    <t>Deel TB</t>
  </si>
  <si>
    <t>Conservatief!</t>
  </si>
  <si>
    <t>Van je PF is maximaal</t>
  </si>
  <si>
    <t>Instap vanTB</t>
  </si>
  <si>
    <t>% tov instap</t>
  </si>
  <si>
    <t>1e bijkoop</t>
  </si>
  <si>
    <t>Bijkoop-1 van TB</t>
  </si>
  <si>
    <t>&lt;- dit is basis niveau, waar dat ook is in de koers, best aan onderzijde BB</t>
  </si>
  <si>
    <t>BE3 na 2e bijkoop</t>
  </si>
  <si>
    <t>Bijkoop-2 van TB</t>
  </si>
  <si>
    <t>Break Even</t>
  </si>
  <si>
    <t>Ligt iets hoger tgv kosten aankoop/verkoop, afhankelijk van kortingen etc.</t>
  </si>
  <si>
    <t>Bijkoop-1 positie = Breedte BB+10%</t>
  </si>
  <si>
    <t>-(BB+~10%) =</t>
  </si>
  <si>
    <t>t.o.v. de originele aankoop, level 0%</t>
  </si>
  <si>
    <t>Daalt t.g.v. de aankoop na Hit, gewogen gemiddelde +0,2%</t>
  </si>
  <si>
    <t>2e bijkoop</t>
  </si>
  <si>
    <t>Bijkoop-2 positie = (Breedte BB+10%)*2</t>
  </si>
  <si>
    <t>Stop Los verschil tov BE</t>
  </si>
  <si>
    <t>Stop Los plaats breedte BB onder 2e bijkoop</t>
  </si>
  <si>
    <t>Of op een weerstand niveau hoger</t>
  </si>
  <si>
    <t>SL</t>
  </si>
  <si>
    <t>Maximale instap van PF</t>
  </si>
  <si>
    <t xml:space="preserve">    (Verlies strategie-2/delta SL)*PF</t>
  </si>
  <si>
    <t>SL max onder Instap</t>
  </si>
  <si>
    <t>SL  verschil met BE</t>
  </si>
  <si>
    <t>Bedragen:</t>
  </si>
  <si>
    <t>Bijkoop-1</t>
  </si>
  <si>
    <t>Bijkoop-2</t>
  </si>
  <si>
    <t>Voorbeeld-2 TB=50%</t>
  </si>
  <si>
    <t>Maximale SL positie</t>
  </si>
  <si>
    <t>Voorbeeld-2</t>
  </si>
  <si>
    <t>BB 2,00%</t>
  </si>
  <si>
    <t>BE</t>
  </si>
  <si>
    <t>&lt; Strategie-1 spreiding risico:  maximaal 2 trades tegelijk</t>
  </si>
  <si>
    <t>Strategie-2 max verlies op PF</t>
  </si>
  <si>
    <t>= 1,25% / (2*Bb%)</t>
  </si>
  <si>
    <t>-(BB+10%) =</t>
  </si>
  <si>
    <t>v1.0</t>
  </si>
  <si>
    <t>Basis versie</t>
  </si>
  <si>
    <t>Versie</t>
  </si>
  <si>
    <t>Datum:</t>
  </si>
  <si>
    <t>Omschrijving</t>
  </si>
  <si>
    <t>Dit visueel overzicht geld alleen voor de reeds ingevulde voorbeeld getallen.</t>
  </si>
  <si>
    <t>V1.1</t>
  </si>
  <si>
    <t>Kleine Lay Out verbetering</t>
  </si>
  <si>
    <t>V2.0</t>
  </si>
  <si>
    <t xml:space="preserve">Blad beveiliging om onbedoeld formule wissen tegen te gaan, met knoppen zonder wachtwoord </t>
  </si>
  <si>
    <t>Bladbeveiliging aan/uit</t>
  </si>
  <si>
    <t>V2.1</t>
  </si>
  <si>
    <t>Foutje in geblokkerde cellen verholpen</t>
  </si>
  <si>
    <r>
      <rPr>
        <b/>
        <i/>
        <u/>
        <sz val="16"/>
        <color rgb="FFFF0000"/>
        <rFont val="Calibri"/>
        <family val="2"/>
        <scheme val="minor"/>
      </rPr>
      <t>Disclaimer:</t>
    </r>
    <r>
      <rPr>
        <b/>
        <i/>
        <sz val="16"/>
        <color rgb="FFFF0000"/>
        <rFont val="Calibri"/>
        <family val="2"/>
        <scheme val="minor"/>
      </rPr>
      <t xml:space="preserve">
• Dit document kan onjuistheden bevatten
• Het is geen advies maar zoals ik het doe, gebruik is geheel op eigen risico!
• Voel je vrij om iets te corrigeren en/of toe te voegen!
</t>
    </r>
    <r>
      <rPr>
        <b/>
        <sz val="16"/>
        <color rgb="FFFF0000"/>
        <rFont val="Calibri"/>
        <family val="2"/>
        <scheme val="minor"/>
      </rPr>
      <t>Versie: v2.1</t>
    </r>
    <r>
      <rPr>
        <b/>
        <i/>
        <sz val="16"/>
        <color rgb="FFFF0000"/>
        <rFont val="Calibri"/>
        <family val="2"/>
        <scheme val="minor"/>
      </rPr>
      <t xml:space="preserve">
</t>
    </r>
    <r>
      <rPr>
        <b/>
        <sz val="16"/>
        <color rgb="FFFF0000"/>
        <rFont val="Calibri"/>
        <family val="2"/>
        <scheme val="minor"/>
      </rPr>
      <t>Datum: 19 februari 2024
Bart van Dam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</si>
</sst>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4" formatCode="_ &quot;€&quot;\ * #,##0.00_ ;_ &quot;€&quot;\ * \-#,##0.00_ ;_ &quot;€&quot;\ * &quot;-&quot;??_ ;_ @_ "/>
    <numFmt numFmtId="164" formatCode="_-[$$-45C]* #,##0.00_-;\-[$$-45C]* #,##0.00_-;_-[$$-45C]* &quot;-&quot;??_-;_-@_-"/>
  </numFmts>
  <fonts count="12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1"/>
      <name val="Calibri"/>
      <family val="2"/>
      <scheme val="minor"/>
    </font>
    <font>
      <b/>
      <i/>
      <sz val="16"/>
      <color rgb="FFFF0000"/>
      <name val="Calibri"/>
      <family val="2"/>
      <scheme val="minor"/>
    </font>
    <font>
      <b/>
      <i/>
      <u/>
      <sz val="16"/>
      <color rgb="FFFF0000"/>
      <name val="Calibri"/>
      <family val="2"/>
      <scheme val="minor"/>
    </font>
    <font>
      <b/>
      <sz val="16"/>
      <color rgb="FFFF0000"/>
      <name val="Calibri"/>
      <family val="2"/>
      <scheme val="minor"/>
    </font>
    <font>
      <b/>
      <sz val="14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rgb="FFFFC000"/>
        <bgColor indexed="64"/>
      </patternFill>
    </fill>
  </fills>
  <borders count="32">
    <border>
      <left/>
      <right/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</borders>
  <cellStyleXfs count="3">
    <xf numFmtId="0" fontId="0" fillId="0" borderId="0"/>
    <xf numFmtId="44" fontId="1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120">
    <xf numFmtId="0" fontId="0" fillId="0" borderId="0" xfId="0"/>
    <xf numFmtId="0" fontId="0" fillId="0" borderId="0" xfId="0" applyAlignment="1">
      <alignment vertical="center"/>
    </xf>
    <xf numFmtId="0" fontId="0" fillId="0" borderId="0" xfId="0" applyAlignment="1">
      <alignment horizontal="center" vertical="center"/>
    </xf>
    <xf numFmtId="0" fontId="4" fillId="0" borderId="8" xfId="0" applyFont="1" applyBorder="1" applyAlignment="1">
      <alignment vertical="center"/>
    </xf>
    <xf numFmtId="0" fontId="4" fillId="0" borderId="8" xfId="0" applyFont="1" applyBorder="1" applyAlignment="1">
      <alignment vertical="center" wrapText="1"/>
    </xf>
    <xf numFmtId="0" fontId="0" fillId="0" borderId="8" xfId="0" applyBorder="1" applyAlignment="1">
      <alignment vertical="center"/>
    </xf>
    <xf numFmtId="0" fontId="0" fillId="0" borderId="8" xfId="0" applyBorder="1" applyAlignment="1">
      <alignment vertical="center" wrapText="1"/>
    </xf>
    <xf numFmtId="0" fontId="0" fillId="0" borderId="0" xfId="0" applyAlignment="1">
      <alignment vertical="center" wrapText="1"/>
    </xf>
    <xf numFmtId="0" fontId="4" fillId="0" borderId="8" xfId="0" applyFont="1" applyBorder="1" applyAlignment="1">
      <alignment horizontal="center" vertical="center"/>
    </xf>
    <xf numFmtId="14" fontId="0" fillId="0" borderId="8" xfId="0" applyNumberFormat="1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5" fillId="0" borderId="7" xfId="0" applyFont="1" applyBorder="1" applyAlignment="1">
      <alignment horizontal="right" vertical="center"/>
    </xf>
    <xf numFmtId="0" fontId="0" fillId="5" borderId="5" xfId="0" applyFill="1" applyBorder="1" applyAlignment="1">
      <alignment vertical="center"/>
    </xf>
    <xf numFmtId="0" fontId="5" fillId="3" borderId="26" xfId="0" applyFont="1" applyFill="1" applyBorder="1" applyAlignment="1">
      <alignment vertical="center"/>
    </xf>
    <xf numFmtId="0" fontId="4" fillId="3" borderId="5" xfId="0" applyFont="1" applyFill="1" applyBorder="1" applyAlignment="1">
      <alignment horizontal="center" vertical="center"/>
    </xf>
    <xf numFmtId="0" fontId="5" fillId="3" borderId="27" xfId="0" applyFont="1" applyFill="1" applyBorder="1" applyAlignment="1">
      <alignment vertical="center"/>
    </xf>
    <xf numFmtId="0" fontId="4" fillId="0" borderId="7" xfId="0" applyFont="1" applyBorder="1" applyAlignment="1">
      <alignment vertical="center"/>
    </xf>
    <xf numFmtId="0" fontId="0" fillId="0" borderId="4" xfId="0" applyBorder="1" applyAlignment="1">
      <alignment vertical="center"/>
    </xf>
    <xf numFmtId="10" fontId="0" fillId="0" borderId="0" xfId="0" applyNumberFormat="1" applyAlignment="1">
      <alignment horizontal="center" vertical="center"/>
    </xf>
    <xf numFmtId="0" fontId="0" fillId="0" borderId="29" xfId="0" applyBorder="1" applyAlignment="1">
      <alignment vertical="center"/>
    </xf>
    <xf numFmtId="0" fontId="0" fillId="0" borderId="14" xfId="0" applyBorder="1" applyAlignment="1">
      <alignment vertical="center"/>
    </xf>
    <xf numFmtId="0" fontId="0" fillId="0" borderId="30" xfId="0" applyBorder="1" applyAlignment="1">
      <alignment vertical="center"/>
    </xf>
    <xf numFmtId="164" fontId="0" fillId="0" borderId="0" xfId="1" applyNumberFormat="1" applyFont="1" applyBorder="1" applyAlignment="1" applyProtection="1">
      <alignment vertical="center"/>
    </xf>
    <xf numFmtId="0" fontId="4" fillId="2" borderId="0" xfId="0" applyFont="1" applyFill="1" applyAlignment="1">
      <alignment horizontal="center"/>
    </xf>
    <xf numFmtId="10" fontId="0" fillId="0" borderId="0" xfId="2" applyNumberFormat="1" applyFont="1" applyAlignment="1" applyProtection="1">
      <alignment horizontal="center" vertical="center"/>
    </xf>
    <xf numFmtId="0" fontId="0" fillId="0" borderId="0" xfId="0" quotePrefix="1" applyAlignment="1">
      <alignment horizontal="center" vertical="center"/>
    </xf>
    <xf numFmtId="10" fontId="3" fillId="0" borderId="0" xfId="0" applyNumberFormat="1" applyFont="1" applyAlignment="1">
      <alignment horizontal="center" vertical="center"/>
    </xf>
    <xf numFmtId="0" fontId="0" fillId="0" borderId="7" xfId="0" applyBorder="1" applyAlignment="1">
      <alignment horizontal="right" vertical="center" indent="1"/>
    </xf>
    <xf numFmtId="0" fontId="0" fillId="0" borderId="0" xfId="0" quotePrefix="1" applyAlignment="1">
      <alignment vertical="center"/>
    </xf>
    <xf numFmtId="0" fontId="0" fillId="0" borderId="7" xfId="0" applyBorder="1" applyAlignment="1">
      <alignment vertical="center"/>
    </xf>
    <xf numFmtId="0" fontId="0" fillId="3" borderId="10" xfId="0" applyFill="1" applyBorder="1" applyAlignment="1">
      <alignment horizontal="center" vertical="center"/>
    </xf>
    <xf numFmtId="0" fontId="0" fillId="3" borderId="14" xfId="0" applyFill="1" applyBorder="1" applyAlignment="1">
      <alignment horizontal="center" vertical="center"/>
    </xf>
    <xf numFmtId="0" fontId="0" fillId="3" borderId="13" xfId="0" applyFill="1" applyBorder="1" applyAlignment="1">
      <alignment horizontal="center" vertical="center"/>
    </xf>
    <xf numFmtId="0" fontId="0" fillId="0" borderId="0" xfId="0" quotePrefix="1" applyAlignment="1">
      <alignment horizontal="center" vertical="center" wrapText="1"/>
    </xf>
    <xf numFmtId="164" fontId="0" fillId="0" borderId="9" xfId="0" applyNumberFormat="1" applyBorder="1" applyAlignment="1">
      <alignment vertical="center"/>
    </xf>
    <xf numFmtId="164" fontId="0" fillId="0" borderId="6" xfId="0" applyNumberFormat="1" applyBorder="1" applyAlignment="1">
      <alignment vertical="center"/>
    </xf>
    <xf numFmtId="164" fontId="0" fillId="0" borderId="12" xfId="0" applyNumberFormat="1" applyBorder="1" applyAlignment="1">
      <alignment vertical="center"/>
    </xf>
    <xf numFmtId="0" fontId="4" fillId="2" borderId="7" xfId="0" applyFont="1" applyFill="1" applyBorder="1" applyAlignment="1">
      <alignment vertical="center"/>
    </xf>
    <xf numFmtId="9" fontId="7" fillId="2" borderId="0" xfId="0" quotePrefix="1" applyNumberFormat="1" applyFont="1" applyFill="1" applyAlignment="1">
      <alignment horizontal="center" vertical="center"/>
    </xf>
    <xf numFmtId="0" fontId="4" fillId="2" borderId="0" xfId="0" applyFont="1" applyFill="1" applyAlignment="1">
      <alignment vertical="center"/>
    </xf>
    <xf numFmtId="0" fontId="0" fillId="2" borderId="4" xfId="0" applyFill="1" applyBorder="1" applyAlignment="1">
      <alignment vertical="center"/>
    </xf>
    <xf numFmtId="164" fontId="0" fillId="0" borderId="0" xfId="0" applyNumberFormat="1" applyAlignment="1">
      <alignment vertical="center"/>
    </xf>
    <xf numFmtId="164" fontId="3" fillId="0" borderId="0" xfId="0" applyNumberFormat="1" applyFont="1" applyAlignment="1">
      <alignment vertical="center"/>
    </xf>
    <xf numFmtId="10" fontId="3" fillId="0" borderId="0" xfId="2" applyNumberFormat="1" applyFont="1" applyBorder="1" applyAlignment="1" applyProtection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3" xfId="0" applyBorder="1" applyAlignment="1">
      <alignment vertical="center"/>
    </xf>
    <xf numFmtId="0" fontId="0" fillId="0" borderId="2" xfId="0" applyBorder="1" applyAlignment="1">
      <alignment vertical="center"/>
    </xf>
    <xf numFmtId="0" fontId="0" fillId="0" borderId="1" xfId="0" applyBorder="1" applyAlignment="1">
      <alignment vertical="center"/>
    </xf>
    <xf numFmtId="9" fontId="0" fillId="0" borderId="0" xfId="2" applyFont="1" applyBorder="1" applyAlignment="1" applyProtection="1">
      <alignment horizontal="center" vertical="center"/>
    </xf>
    <xf numFmtId="10" fontId="2" fillId="2" borderId="5" xfId="2" applyNumberFormat="1" applyFont="1" applyFill="1" applyBorder="1" applyAlignment="1" applyProtection="1">
      <alignment horizontal="center" vertical="center"/>
    </xf>
    <xf numFmtId="0" fontId="0" fillId="0" borderId="7" xfId="0" applyBorder="1" applyAlignment="1">
      <alignment horizontal="right" vertical="center"/>
    </xf>
    <xf numFmtId="0" fontId="0" fillId="0" borderId="2" xfId="0" applyBorder="1" applyAlignment="1">
      <alignment horizontal="center" vertical="center"/>
    </xf>
    <xf numFmtId="164" fontId="0" fillId="0" borderId="2" xfId="0" applyNumberFormat="1" applyBorder="1" applyAlignment="1">
      <alignment vertical="center"/>
    </xf>
    <xf numFmtId="0" fontId="0" fillId="0" borderId="7" xfId="0" applyBorder="1" applyAlignment="1">
      <alignment horizontal="left" vertical="center"/>
    </xf>
    <xf numFmtId="10" fontId="0" fillId="0" borderId="0" xfId="2" applyNumberFormat="1" applyFont="1" applyBorder="1" applyAlignment="1" applyProtection="1">
      <alignment horizontal="left" vertical="center"/>
    </xf>
    <xf numFmtId="10" fontId="0" fillId="0" borderId="0" xfId="2" applyNumberFormat="1" applyFont="1" applyBorder="1" applyAlignment="1" applyProtection="1">
      <alignment vertical="center"/>
    </xf>
    <xf numFmtId="9" fontId="0" fillId="0" borderId="0" xfId="0" quotePrefix="1" applyNumberFormat="1" applyAlignment="1">
      <alignment horizontal="center" vertical="center"/>
    </xf>
    <xf numFmtId="0" fontId="4" fillId="2" borderId="7" xfId="0" applyFont="1" applyFill="1" applyBorder="1" applyAlignment="1">
      <alignment horizontal="left" vertical="center"/>
    </xf>
    <xf numFmtId="44" fontId="4" fillId="2" borderId="0" xfId="1" applyFont="1" applyFill="1" applyBorder="1" applyAlignment="1" applyProtection="1">
      <alignment horizontal="center" vertical="center"/>
    </xf>
    <xf numFmtId="0" fontId="3" fillId="4" borderId="0" xfId="0" applyFont="1" applyFill="1" applyAlignment="1">
      <alignment vertical="center"/>
    </xf>
    <xf numFmtId="10" fontId="0" fillId="0" borderId="0" xfId="2" applyNumberFormat="1" applyFont="1" applyBorder="1" applyAlignment="1" applyProtection="1">
      <alignment horizontal="center" vertical="center"/>
    </xf>
    <xf numFmtId="0" fontId="0" fillId="3" borderId="31" xfId="0" applyFill="1" applyBorder="1" applyAlignment="1">
      <alignment horizontal="center" vertical="center"/>
    </xf>
    <xf numFmtId="9" fontId="0" fillId="0" borderId="0" xfId="0" applyNumberFormat="1" applyAlignment="1">
      <alignment horizontal="center" vertical="center"/>
    </xf>
    <xf numFmtId="0" fontId="0" fillId="0" borderId="0" xfId="0" applyAlignment="1">
      <alignment vertical="top"/>
    </xf>
    <xf numFmtId="9" fontId="0" fillId="0" borderId="0" xfId="0" applyNumberFormat="1" applyAlignment="1">
      <alignment vertical="center"/>
    </xf>
    <xf numFmtId="164" fontId="0" fillId="2" borderId="9" xfId="0" applyNumberFormat="1" applyFill="1" applyBorder="1" applyAlignment="1">
      <alignment vertical="center"/>
    </xf>
    <xf numFmtId="164" fontId="0" fillId="5" borderId="5" xfId="1" applyNumberFormat="1" applyFont="1" applyFill="1" applyBorder="1" applyAlignment="1" applyProtection="1">
      <alignment vertical="center"/>
      <protection locked="0"/>
    </xf>
    <xf numFmtId="9" fontId="0" fillId="5" borderId="5" xfId="2" applyFont="1" applyFill="1" applyBorder="1" applyAlignment="1" applyProtection="1">
      <alignment horizontal="center" vertical="center"/>
      <protection locked="0"/>
    </xf>
    <xf numFmtId="10" fontId="3" fillId="5" borderId="5" xfId="2" applyNumberFormat="1" applyFont="1" applyFill="1" applyBorder="1" applyAlignment="1" applyProtection="1">
      <alignment horizontal="center" vertical="center"/>
      <protection locked="0"/>
    </xf>
    <xf numFmtId="9" fontId="0" fillId="5" borderId="5" xfId="0" quotePrefix="1" applyNumberFormat="1" applyFill="1" applyBorder="1" applyAlignment="1" applyProtection="1">
      <alignment horizontal="center" vertical="center"/>
      <protection locked="0"/>
    </xf>
    <xf numFmtId="10" fontId="7" fillId="5" borderId="5" xfId="2" applyNumberFormat="1" applyFont="1" applyFill="1" applyBorder="1" applyAlignment="1" applyProtection="1">
      <alignment horizontal="center" vertical="center"/>
      <protection locked="0"/>
    </xf>
    <xf numFmtId="0" fontId="11" fillId="0" borderId="5" xfId="0" applyFont="1" applyBorder="1" applyAlignment="1">
      <alignment horizontal="center" vertical="center"/>
    </xf>
    <xf numFmtId="10" fontId="3" fillId="6" borderId="8" xfId="2" applyNumberFormat="1" applyFont="1" applyFill="1" applyBorder="1" applyAlignment="1" applyProtection="1">
      <alignment horizontal="center" vertical="center"/>
    </xf>
    <xf numFmtId="10" fontId="4" fillId="6" borderId="8" xfId="2" applyNumberFormat="1" applyFont="1" applyFill="1" applyBorder="1" applyAlignment="1" applyProtection="1">
      <alignment horizontal="center" vertical="center"/>
    </xf>
    <xf numFmtId="164" fontId="0" fillId="6" borderId="8" xfId="1" applyNumberFormat="1" applyFont="1" applyFill="1" applyBorder="1" applyAlignment="1" applyProtection="1">
      <alignment vertical="center"/>
    </xf>
    <xf numFmtId="9" fontId="0" fillId="6" borderId="8" xfId="2" applyFont="1" applyFill="1" applyBorder="1" applyAlignment="1" applyProtection="1">
      <alignment horizontal="center" vertical="center"/>
    </xf>
    <xf numFmtId="10" fontId="3" fillId="0" borderId="0" xfId="2" applyNumberFormat="1" applyFont="1" applyAlignment="1" applyProtection="1">
      <alignment horizontal="left" vertical="center" indent="3"/>
    </xf>
    <xf numFmtId="9" fontId="0" fillId="7" borderId="5" xfId="0" quotePrefix="1" applyNumberFormat="1" applyFill="1" applyBorder="1" applyAlignment="1" applyProtection="1">
      <alignment horizontal="center" vertical="center"/>
      <protection locked="0"/>
    </xf>
    <xf numFmtId="10" fontId="0" fillId="7" borderId="5" xfId="0" quotePrefix="1" applyNumberFormat="1" applyFill="1" applyBorder="1" applyAlignment="1" applyProtection="1">
      <alignment horizontal="center" vertical="center"/>
      <protection locked="0"/>
    </xf>
    <xf numFmtId="10" fontId="4" fillId="7" borderId="5" xfId="2" applyNumberFormat="1" applyFont="1" applyFill="1" applyBorder="1" applyAlignment="1" applyProtection="1">
      <alignment horizontal="center" vertical="center"/>
      <protection locked="0"/>
    </xf>
    <xf numFmtId="10" fontId="3" fillId="7" borderId="5" xfId="2" applyNumberFormat="1" applyFont="1" applyFill="1" applyBorder="1" applyAlignment="1" applyProtection="1">
      <alignment horizontal="center" vertical="center"/>
      <protection locked="0"/>
    </xf>
    <xf numFmtId="9" fontId="0" fillId="7" borderId="5" xfId="2" applyFont="1" applyFill="1" applyBorder="1" applyAlignment="1" applyProtection="1">
      <alignment horizontal="center" vertical="center"/>
      <protection locked="0"/>
    </xf>
    <xf numFmtId="164" fontId="0" fillId="7" borderId="5" xfId="1" applyNumberFormat="1" applyFont="1" applyFill="1" applyBorder="1" applyAlignment="1" applyProtection="1">
      <alignment vertical="center"/>
      <protection locked="0"/>
    </xf>
    <xf numFmtId="10" fontId="3" fillId="0" borderId="21" xfId="2" applyNumberFormat="1" applyFont="1" applyBorder="1" applyAlignment="1" applyProtection="1">
      <alignment horizontal="center" vertical="center"/>
    </xf>
    <xf numFmtId="10" fontId="3" fillId="0" borderId="22" xfId="2" applyNumberFormat="1" applyFont="1" applyBorder="1" applyAlignment="1" applyProtection="1">
      <alignment horizontal="center" vertical="center"/>
    </xf>
    <xf numFmtId="10" fontId="3" fillId="0" borderId="23" xfId="2" applyNumberFormat="1" applyFont="1" applyBorder="1" applyAlignment="1" applyProtection="1">
      <alignment horizontal="center" vertical="center"/>
    </xf>
    <xf numFmtId="0" fontId="5" fillId="3" borderId="11" xfId="0" applyFont="1" applyFill="1" applyBorder="1" applyAlignment="1">
      <alignment horizontal="center" vertical="center"/>
    </xf>
    <xf numFmtId="0" fontId="5" fillId="3" borderId="28" xfId="0" applyFont="1" applyFill="1" applyBorder="1" applyAlignment="1">
      <alignment horizontal="center" vertical="center"/>
    </xf>
    <xf numFmtId="0" fontId="4" fillId="2" borderId="18" xfId="0" applyFont="1" applyFill="1" applyBorder="1" applyAlignment="1">
      <alignment horizontal="center" vertical="center" wrapText="1"/>
    </xf>
    <xf numFmtId="0" fontId="4" fillId="2" borderId="20" xfId="0" applyFont="1" applyFill="1" applyBorder="1" applyAlignment="1">
      <alignment horizontal="center" vertical="center" wrapText="1"/>
    </xf>
    <xf numFmtId="0" fontId="0" fillId="0" borderId="18" xfId="0" applyBorder="1" applyAlignment="1">
      <alignment horizontal="center" vertical="center" wrapText="1"/>
    </xf>
    <xf numFmtId="0" fontId="0" fillId="0" borderId="19" xfId="0" applyBorder="1" applyAlignment="1">
      <alignment horizontal="center" vertical="center" wrapText="1"/>
    </xf>
    <xf numFmtId="0" fontId="5" fillId="3" borderId="15" xfId="0" applyFont="1" applyFill="1" applyBorder="1" applyAlignment="1">
      <alignment horizontal="center" vertical="center"/>
    </xf>
    <xf numFmtId="0" fontId="5" fillId="3" borderId="16" xfId="0" applyFont="1" applyFill="1" applyBorder="1" applyAlignment="1">
      <alignment horizontal="center" vertical="center"/>
    </xf>
    <xf numFmtId="0" fontId="5" fillId="3" borderId="17" xfId="0" applyFont="1" applyFill="1" applyBorder="1" applyAlignment="1">
      <alignment horizontal="center" vertical="center"/>
    </xf>
    <xf numFmtId="0" fontId="5" fillId="3" borderId="25" xfId="0" applyFont="1" applyFill="1" applyBorder="1" applyAlignment="1">
      <alignment horizontal="center" vertical="center"/>
    </xf>
    <xf numFmtId="0" fontId="5" fillId="3" borderId="24" xfId="0" applyFont="1" applyFill="1" applyBorder="1" applyAlignment="1">
      <alignment horizontal="center" vertical="center"/>
    </xf>
    <xf numFmtId="0" fontId="5" fillId="3" borderId="25" xfId="0" applyFont="1" applyFill="1" applyBorder="1" applyAlignment="1">
      <alignment horizontal="left" vertical="center"/>
    </xf>
    <xf numFmtId="0" fontId="5" fillId="3" borderId="11" xfId="0" applyFont="1" applyFill="1" applyBorder="1" applyAlignment="1">
      <alignment horizontal="left" vertical="center"/>
    </xf>
    <xf numFmtId="0" fontId="5" fillId="3" borderId="24" xfId="0" applyFont="1" applyFill="1" applyBorder="1" applyAlignment="1">
      <alignment horizontal="left" vertical="center"/>
    </xf>
    <xf numFmtId="0" fontId="0" fillId="0" borderId="8" xfId="0" applyBorder="1" applyAlignment="1">
      <alignment horizontal="center" vertical="center" wrapText="1"/>
    </xf>
    <xf numFmtId="0" fontId="0" fillId="0" borderId="20" xfId="0" applyBorder="1" applyAlignment="1">
      <alignment horizontal="center" vertical="center" wrapText="1"/>
    </xf>
    <xf numFmtId="0" fontId="10" fillId="4" borderId="27" xfId="0" applyFont="1" applyFill="1" applyBorder="1" applyAlignment="1">
      <alignment horizontal="center" vertical="center" wrapText="1"/>
    </xf>
    <xf numFmtId="0" fontId="10" fillId="4" borderId="11" xfId="0" applyFont="1" applyFill="1" applyBorder="1" applyAlignment="1">
      <alignment horizontal="center" vertical="center" wrapText="1"/>
    </xf>
    <xf numFmtId="0" fontId="10" fillId="4" borderId="28" xfId="0" applyFont="1" applyFill="1" applyBorder="1" applyAlignment="1">
      <alignment horizontal="center" vertical="center" wrapText="1"/>
    </xf>
    <xf numFmtId="0" fontId="10" fillId="4" borderId="3" xfId="0" applyFont="1" applyFill="1" applyBorder="1" applyAlignment="1">
      <alignment horizontal="center" vertical="center" wrapText="1"/>
    </xf>
    <xf numFmtId="0" fontId="10" fillId="4" borderId="2" xfId="0" applyFont="1" applyFill="1" applyBorder="1" applyAlignment="1">
      <alignment horizontal="center" vertical="center" wrapText="1"/>
    </xf>
    <xf numFmtId="0" fontId="10" fillId="4" borderId="1" xfId="0" applyFont="1" applyFill="1" applyBorder="1" applyAlignment="1">
      <alignment horizontal="center" vertical="center" wrapText="1"/>
    </xf>
    <xf numFmtId="0" fontId="8" fillId="4" borderId="27" xfId="0" applyFont="1" applyFill="1" applyBorder="1" applyAlignment="1">
      <alignment horizontal="left" vertical="center" wrapText="1"/>
    </xf>
    <xf numFmtId="0" fontId="8" fillId="4" borderId="11" xfId="0" applyFont="1" applyFill="1" applyBorder="1" applyAlignment="1">
      <alignment horizontal="left" vertical="center" wrapText="1"/>
    </xf>
    <xf numFmtId="0" fontId="8" fillId="4" borderId="28" xfId="0" applyFont="1" applyFill="1" applyBorder="1" applyAlignment="1">
      <alignment horizontal="left" vertical="center" wrapText="1"/>
    </xf>
    <xf numFmtId="0" fontId="8" fillId="4" borderId="7" xfId="0" applyFont="1" applyFill="1" applyBorder="1" applyAlignment="1">
      <alignment horizontal="left" vertical="center" wrapText="1"/>
    </xf>
    <xf numFmtId="0" fontId="8" fillId="4" borderId="0" xfId="0" applyFont="1" applyFill="1" applyAlignment="1">
      <alignment horizontal="left" vertical="center" wrapText="1"/>
    </xf>
    <xf numFmtId="0" fontId="8" fillId="4" borderId="4" xfId="0" applyFont="1" applyFill="1" applyBorder="1" applyAlignment="1">
      <alignment horizontal="left" vertical="center" wrapText="1"/>
    </xf>
    <xf numFmtId="0" fontId="8" fillId="4" borderId="3" xfId="0" applyFont="1" applyFill="1" applyBorder="1" applyAlignment="1">
      <alignment horizontal="left" vertical="center" wrapText="1"/>
    </xf>
    <xf numFmtId="0" fontId="8" fillId="4" borderId="2" xfId="0" applyFont="1" applyFill="1" applyBorder="1" applyAlignment="1">
      <alignment horizontal="left" vertical="center" wrapText="1"/>
    </xf>
    <xf numFmtId="0" fontId="8" fillId="4" borderId="1" xfId="0" applyFont="1" applyFill="1" applyBorder="1" applyAlignment="1">
      <alignment horizontal="left" vertical="center" wrapText="1"/>
    </xf>
    <xf numFmtId="0" fontId="6" fillId="3" borderId="15" xfId="0" applyFont="1" applyFill="1" applyBorder="1" applyAlignment="1">
      <alignment horizontal="center" vertical="center"/>
    </xf>
    <xf numFmtId="0" fontId="6" fillId="3" borderId="16" xfId="0" applyFont="1" applyFill="1" applyBorder="1" applyAlignment="1">
      <alignment horizontal="center" vertical="center"/>
    </xf>
    <xf numFmtId="0" fontId="6" fillId="3" borderId="17" xfId="0" applyFont="1" applyFill="1" applyBorder="1" applyAlignment="1">
      <alignment horizontal="center" vertical="center"/>
    </xf>
  </cellXfs>
  <cellStyles count="3">
    <cellStyle name="Procent" xfId="2" builtinId="5"/>
    <cellStyle name="Standaard" xfId="0" builtinId="0"/>
    <cellStyle name="Valuta" xfId="1" builtinId="4"/>
  </cellStyles>
  <dxfs count="10"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17/10/relationships/person" Target="persons/person.xml"/><Relationship Id="rId3" Type="http://schemas.openxmlformats.org/officeDocument/2006/relationships/externalLink" Target="externalLinks/externalLink1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externalLink" Target="externalLinks/externalLink2.xml"/><Relationship Id="rId9" Type="http://schemas.openxmlformats.org/officeDocument/2006/relationships/calcChain" Target="calcChain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876300</xdr:colOff>
      <xdr:row>37</xdr:row>
      <xdr:rowOff>88900</xdr:rowOff>
    </xdr:from>
    <xdr:to>
      <xdr:col>9</xdr:col>
      <xdr:colOff>31750</xdr:colOff>
      <xdr:row>43</xdr:row>
      <xdr:rowOff>95250</xdr:rowOff>
    </xdr:to>
    <xdr:cxnSp macro="">
      <xdr:nvCxnSpPr>
        <xdr:cNvPr id="2" name="Verbindingslijn: gebogen 1">
          <a:extLst>
            <a:ext uri="{FF2B5EF4-FFF2-40B4-BE49-F238E27FC236}">
              <a16:creationId xmlns:a16="http://schemas.microsoft.com/office/drawing/2014/main" id="{B6C1556E-B928-4F90-AAB8-FCF8D684A6E5}"/>
            </a:ext>
          </a:extLst>
        </xdr:cNvPr>
        <xdr:cNvCxnSpPr/>
      </xdr:nvCxnSpPr>
      <xdr:spPr>
        <a:xfrm>
          <a:off x="3505200" y="3606800"/>
          <a:ext cx="4584700" cy="1136650"/>
        </a:xfrm>
        <a:prstGeom prst="bentConnector3">
          <a:avLst>
            <a:gd name="adj1" fmla="val 105540"/>
          </a:avLst>
        </a:prstGeom>
        <a:ln w="19050">
          <a:headEnd type="triangle"/>
          <a:tailEnd type="triangle"/>
        </a:ln>
      </xdr:spPr>
      <xdr:style>
        <a:lnRef idx="1">
          <a:schemeClr val="accent6"/>
        </a:lnRef>
        <a:fillRef idx="0">
          <a:schemeClr val="accent6"/>
        </a:fillRef>
        <a:effectRef idx="0">
          <a:schemeClr val="accent6"/>
        </a:effectRef>
        <a:fontRef idx="minor">
          <a:schemeClr val="tx1"/>
        </a:fontRef>
      </xdr:style>
    </xdr:cxnSp>
    <xdr:clientData/>
  </xdr:twoCellAnchor>
  <xdr:twoCellAnchor>
    <xdr:from>
      <xdr:col>4</xdr:col>
      <xdr:colOff>6350</xdr:colOff>
      <xdr:row>8</xdr:row>
      <xdr:rowOff>95250</xdr:rowOff>
    </xdr:from>
    <xdr:to>
      <xdr:col>9</xdr:col>
      <xdr:colOff>6350</xdr:colOff>
      <xdr:row>14</xdr:row>
      <xdr:rowOff>120650</xdr:rowOff>
    </xdr:to>
    <xdr:cxnSp macro="">
      <xdr:nvCxnSpPr>
        <xdr:cNvPr id="3" name="Verbindingslijn: gebogen 2">
          <a:extLst>
            <a:ext uri="{FF2B5EF4-FFF2-40B4-BE49-F238E27FC236}">
              <a16:creationId xmlns:a16="http://schemas.microsoft.com/office/drawing/2014/main" id="{C4DBD430-7C28-4F91-BC4D-A4A6BDAED5EA}"/>
            </a:ext>
          </a:extLst>
        </xdr:cNvPr>
        <xdr:cNvCxnSpPr/>
      </xdr:nvCxnSpPr>
      <xdr:spPr>
        <a:xfrm>
          <a:off x="2444750" y="3225800"/>
          <a:ext cx="3048000" cy="1130300"/>
        </a:xfrm>
        <a:prstGeom prst="bentConnector3">
          <a:avLst>
            <a:gd name="adj1" fmla="val 105683"/>
          </a:avLst>
        </a:prstGeom>
        <a:ln w="19050">
          <a:headEnd type="triangle"/>
          <a:tailEnd type="triangle"/>
        </a:ln>
      </xdr:spPr>
      <xdr:style>
        <a:lnRef idx="1">
          <a:schemeClr val="accent6"/>
        </a:lnRef>
        <a:fillRef idx="0">
          <a:schemeClr val="accent6"/>
        </a:fillRef>
        <a:effectRef idx="0">
          <a:schemeClr val="accent6"/>
        </a:effectRef>
        <a:fontRef idx="minor">
          <a:schemeClr val="tx1"/>
        </a:fontRef>
      </xdr:style>
    </xdr:cxnSp>
    <xdr:clientData/>
  </xdr:twoCellAnchor>
  <xdr:twoCellAnchor>
    <xdr:from>
      <xdr:col>14</xdr:col>
      <xdr:colOff>119159</xdr:colOff>
      <xdr:row>37</xdr:row>
      <xdr:rowOff>101600</xdr:rowOff>
    </xdr:from>
    <xdr:to>
      <xdr:col>18</xdr:col>
      <xdr:colOff>451226</xdr:colOff>
      <xdr:row>60</xdr:row>
      <xdr:rowOff>107950</xdr:rowOff>
    </xdr:to>
    <xdr:cxnSp macro="">
      <xdr:nvCxnSpPr>
        <xdr:cNvPr id="5" name="Verbindingslijn: gebogen 4">
          <a:extLst>
            <a:ext uri="{FF2B5EF4-FFF2-40B4-BE49-F238E27FC236}">
              <a16:creationId xmlns:a16="http://schemas.microsoft.com/office/drawing/2014/main" id="{2BD589E8-FB43-49EF-843A-4A9248C24564}"/>
            </a:ext>
          </a:extLst>
        </xdr:cNvPr>
        <xdr:cNvCxnSpPr/>
      </xdr:nvCxnSpPr>
      <xdr:spPr>
        <a:xfrm>
          <a:off x="14754041" y="9155953"/>
          <a:ext cx="4276538" cy="5340350"/>
        </a:xfrm>
        <a:prstGeom prst="bentConnector3">
          <a:avLst>
            <a:gd name="adj1" fmla="val 115136"/>
          </a:avLst>
        </a:prstGeom>
        <a:ln w="19050">
          <a:headEnd type="triangle"/>
          <a:tailEnd type="triangle"/>
        </a:ln>
      </xdr:spPr>
      <xdr:style>
        <a:lnRef idx="1">
          <a:schemeClr val="accent6"/>
        </a:lnRef>
        <a:fillRef idx="0">
          <a:schemeClr val="accent6"/>
        </a:fillRef>
        <a:effectRef idx="0">
          <a:schemeClr val="accent6"/>
        </a:effectRef>
        <a:fontRef idx="minor">
          <a:schemeClr val="tx1"/>
        </a:fontRef>
      </xdr:style>
    </xdr:cxnSp>
    <xdr:clientData/>
  </xdr:twoCellAnchor>
  <xdr:twoCellAnchor>
    <xdr:from>
      <xdr:col>21</xdr:col>
      <xdr:colOff>1381125</xdr:colOff>
      <xdr:row>13</xdr:row>
      <xdr:rowOff>5953</xdr:rowOff>
    </xdr:from>
    <xdr:to>
      <xdr:col>22</xdr:col>
      <xdr:colOff>581025</xdr:colOff>
      <xdr:row>13</xdr:row>
      <xdr:rowOff>11203</xdr:rowOff>
    </xdr:to>
    <xdr:cxnSp macro="">
      <xdr:nvCxnSpPr>
        <xdr:cNvPr id="6" name="Rechte verbindingslijn met pijl 5">
          <a:extLst>
            <a:ext uri="{FF2B5EF4-FFF2-40B4-BE49-F238E27FC236}">
              <a16:creationId xmlns:a16="http://schemas.microsoft.com/office/drawing/2014/main" id="{59AF4E5B-A67E-478D-B6AC-2174765E463B}"/>
            </a:ext>
          </a:extLst>
        </xdr:cNvPr>
        <xdr:cNvCxnSpPr/>
      </xdr:nvCxnSpPr>
      <xdr:spPr>
        <a:xfrm flipH="1" flipV="1">
          <a:off x="22139672" y="3565922"/>
          <a:ext cx="962025" cy="5250"/>
        </a:xfrm>
        <a:prstGeom prst="straightConnector1">
          <a:avLst/>
        </a:prstGeom>
        <a:ln w="12700"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21</xdr:col>
      <xdr:colOff>1393031</xdr:colOff>
      <xdr:row>7</xdr:row>
      <xdr:rowOff>113108</xdr:rowOff>
    </xdr:from>
    <xdr:to>
      <xdr:col>22</xdr:col>
      <xdr:colOff>577850</xdr:colOff>
      <xdr:row>7</xdr:row>
      <xdr:rowOff>119062</xdr:rowOff>
    </xdr:to>
    <xdr:cxnSp macro="">
      <xdr:nvCxnSpPr>
        <xdr:cNvPr id="7" name="Rechte verbindingslijn met pijl 6">
          <a:extLst>
            <a:ext uri="{FF2B5EF4-FFF2-40B4-BE49-F238E27FC236}">
              <a16:creationId xmlns:a16="http://schemas.microsoft.com/office/drawing/2014/main" id="{5A55B117-1BE9-4861-A626-C4D38DC7F90D}"/>
            </a:ext>
          </a:extLst>
        </xdr:cNvPr>
        <xdr:cNvCxnSpPr/>
      </xdr:nvCxnSpPr>
      <xdr:spPr>
        <a:xfrm flipH="1" flipV="1">
          <a:off x="22151578" y="2137171"/>
          <a:ext cx="946944" cy="5954"/>
        </a:xfrm>
        <a:prstGeom prst="straightConnector1">
          <a:avLst/>
        </a:prstGeom>
        <a:ln w="12700"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21</xdr:col>
      <xdr:colOff>1387078</xdr:colOff>
      <xdr:row>6</xdr:row>
      <xdr:rowOff>130968</xdr:rowOff>
    </xdr:from>
    <xdr:to>
      <xdr:col>24</xdr:col>
      <xdr:colOff>6350</xdr:colOff>
      <xdr:row>6</xdr:row>
      <xdr:rowOff>139700</xdr:rowOff>
    </xdr:to>
    <xdr:cxnSp macro="">
      <xdr:nvCxnSpPr>
        <xdr:cNvPr id="8" name="Rechte verbindingslijn met pijl 7">
          <a:extLst>
            <a:ext uri="{FF2B5EF4-FFF2-40B4-BE49-F238E27FC236}">
              <a16:creationId xmlns:a16="http://schemas.microsoft.com/office/drawing/2014/main" id="{2536ECB8-B658-4B2C-887C-EB260CF7ED59}"/>
            </a:ext>
          </a:extLst>
        </xdr:cNvPr>
        <xdr:cNvCxnSpPr/>
      </xdr:nvCxnSpPr>
      <xdr:spPr>
        <a:xfrm flipH="1" flipV="1">
          <a:off x="22145625" y="1928812"/>
          <a:ext cx="1595834" cy="8732"/>
        </a:xfrm>
        <a:prstGeom prst="straightConnector1">
          <a:avLst/>
        </a:prstGeom>
        <a:ln w="12700">
          <a:solidFill>
            <a:srgbClr val="00B05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21</xdr:col>
      <xdr:colOff>1387078</xdr:colOff>
      <xdr:row>9</xdr:row>
      <xdr:rowOff>71437</xdr:rowOff>
    </xdr:from>
    <xdr:to>
      <xdr:col>23</xdr:col>
      <xdr:colOff>631031</xdr:colOff>
      <xdr:row>9</xdr:row>
      <xdr:rowOff>78441</xdr:rowOff>
    </xdr:to>
    <xdr:cxnSp macro="">
      <xdr:nvCxnSpPr>
        <xdr:cNvPr id="9" name="Rechte verbindingslijn met pijl 8">
          <a:extLst>
            <a:ext uri="{FF2B5EF4-FFF2-40B4-BE49-F238E27FC236}">
              <a16:creationId xmlns:a16="http://schemas.microsoft.com/office/drawing/2014/main" id="{213CFD88-1447-4805-A348-6864C25B3EED}"/>
            </a:ext>
          </a:extLst>
        </xdr:cNvPr>
        <xdr:cNvCxnSpPr/>
      </xdr:nvCxnSpPr>
      <xdr:spPr>
        <a:xfrm flipH="1" flipV="1">
          <a:off x="22145625" y="2547937"/>
          <a:ext cx="1589484" cy="7004"/>
        </a:xfrm>
        <a:prstGeom prst="straightConnector1">
          <a:avLst/>
        </a:prstGeom>
        <a:ln w="12700">
          <a:solidFill>
            <a:srgbClr val="00B05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21</xdr:col>
      <xdr:colOff>1381125</xdr:colOff>
      <xdr:row>13</xdr:row>
      <xdr:rowOff>178593</xdr:rowOff>
    </xdr:from>
    <xdr:to>
      <xdr:col>24</xdr:col>
      <xdr:colOff>6350</xdr:colOff>
      <xdr:row>13</xdr:row>
      <xdr:rowOff>184150</xdr:rowOff>
    </xdr:to>
    <xdr:cxnSp macro="">
      <xdr:nvCxnSpPr>
        <xdr:cNvPr id="10" name="Rechte verbindingslijn met pijl 9">
          <a:extLst>
            <a:ext uri="{FF2B5EF4-FFF2-40B4-BE49-F238E27FC236}">
              <a16:creationId xmlns:a16="http://schemas.microsoft.com/office/drawing/2014/main" id="{3F60E394-4C1F-4804-B1DF-0CDEE083D3B3}"/>
            </a:ext>
          </a:extLst>
        </xdr:cNvPr>
        <xdr:cNvCxnSpPr/>
      </xdr:nvCxnSpPr>
      <xdr:spPr>
        <a:xfrm flipH="1" flipV="1">
          <a:off x="22139672" y="3738562"/>
          <a:ext cx="1601787" cy="5557"/>
        </a:xfrm>
        <a:prstGeom prst="straightConnector1">
          <a:avLst/>
        </a:prstGeom>
        <a:ln w="12700">
          <a:solidFill>
            <a:srgbClr val="00B05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21</xdr:col>
      <xdr:colOff>1381125</xdr:colOff>
      <xdr:row>18</xdr:row>
      <xdr:rowOff>101600</xdr:rowOff>
    </xdr:from>
    <xdr:to>
      <xdr:col>23</xdr:col>
      <xdr:colOff>1494</xdr:colOff>
      <xdr:row>18</xdr:row>
      <xdr:rowOff>107156</xdr:rowOff>
    </xdr:to>
    <xdr:cxnSp macro="">
      <xdr:nvCxnSpPr>
        <xdr:cNvPr id="11" name="Rechte verbindingslijn met pijl 10">
          <a:extLst>
            <a:ext uri="{FF2B5EF4-FFF2-40B4-BE49-F238E27FC236}">
              <a16:creationId xmlns:a16="http://schemas.microsoft.com/office/drawing/2014/main" id="{207E2F44-DB76-4EE7-9461-B1AFEB1DDA29}"/>
            </a:ext>
          </a:extLst>
        </xdr:cNvPr>
        <xdr:cNvCxnSpPr/>
      </xdr:nvCxnSpPr>
      <xdr:spPr>
        <a:xfrm flipH="1">
          <a:off x="22139672" y="4792663"/>
          <a:ext cx="965900" cy="5556"/>
        </a:xfrm>
        <a:prstGeom prst="straightConnector1">
          <a:avLst/>
        </a:prstGeom>
        <a:ln w="12700"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21</xdr:col>
      <xdr:colOff>1375172</xdr:colOff>
      <xdr:row>23</xdr:row>
      <xdr:rowOff>113110</xdr:rowOff>
    </xdr:from>
    <xdr:to>
      <xdr:col>23</xdr:col>
      <xdr:colOff>613965</xdr:colOff>
      <xdr:row>23</xdr:row>
      <xdr:rowOff>113506</xdr:rowOff>
    </xdr:to>
    <xdr:cxnSp macro="">
      <xdr:nvCxnSpPr>
        <xdr:cNvPr id="12" name="Rechte verbindingslijn met pijl 11">
          <a:extLst>
            <a:ext uri="{FF2B5EF4-FFF2-40B4-BE49-F238E27FC236}">
              <a16:creationId xmlns:a16="http://schemas.microsoft.com/office/drawing/2014/main" id="{A8635FAD-CF4E-4BCB-9954-D30EE1495C11}"/>
            </a:ext>
          </a:extLst>
        </xdr:cNvPr>
        <xdr:cNvCxnSpPr/>
      </xdr:nvCxnSpPr>
      <xdr:spPr>
        <a:xfrm flipH="1" flipV="1">
          <a:off x="22133719" y="5935266"/>
          <a:ext cx="1584324" cy="396"/>
        </a:xfrm>
        <a:prstGeom prst="straightConnector1">
          <a:avLst/>
        </a:prstGeom>
        <a:ln w="1270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24</xdr:col>
      <xdr:colOff>243283</xdr:colOff>
      <xdr:row>14</xdr:row>
      <xdr:rowOff>32146</xdr:rowOff>
    </xdr:from>
    <xdr:to>
      <xdr:col>24</xdr:col>
      <xdr:colOff>255983</xdr:colOff>
      <xdr:row>23</xdr:row>
      <xdr:rowOff>112315</xdr:rowOff>
    </xdr:to>
    <xdr:cxnSp macro="">
      <xdr:nvCxnSpPr>
        <xdr:cNvPr id="13" name="Rechte verbindingslijn met pijl 12">
          <a:extLst>
            <a:ext uri="{FF2B5EF4-FFF2-40B4-BE49-F238E27FC236}">
              <a16:creationId xmlns:a16="http://schemas.microsoft.com/office/drawing/2014/main" id="{4793F1FF-4E80-48B3-B7A0-13EE30A579C9}"/>
            </a:ext>
          </a:extLst>
        </xdr:cNvPr>
        <xdr:cNvCxnSpPr/>
      </xdr:nvCxnSpPr>
      <xdr:spPr>
        <a:xfrm flipV="1">
          <a:off x="23978392" y="3818334"/>
          <a:ext cx="12700" cy="2116137"/>
        </a:xfrm>
        <a:prstGeom prst="straightConnector1">
          <a:avLst/>
        </a:prstGeom>
        <a:ln w="12700">
          <a:solidFill>
            <a:srgbClr val="FF0000"/>
          </a:solidFill>
          <a:headEnd type="triangle" w="med" len="med"/>
          <a:tailEnd type="triangl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21</xdr:col>
      <xdr:colOff>1355911</xdr:colOff>
      <xdr:row>58</xdr:row>
      <xdr:rowOff>89647</xdr:rowOff>
    </xdr:from>
    <xdr:to>
      <xdr:col>23</xdr:col>
      <xdr:colOff>6350</xdr:colOff>
      <xdr:row>58</xdr:row>
      <xdr:rowOff>101600</xdr:rowOff>
    </xdr:to>
    <xdr:cxnSp macro="">
      <xdr:nvCxnSpPr>
        <xdr:cNvPr id="14" name="Rechte verbindingslijn met pijl 13">
          <a:extLst>
            <a:ext uri="{FF2B5EF4-FFF2-40B4-BE49-F238E27FC236}">
              <a16:creationId xmlns:a16="http://schemas.microsoft.com/office/drawing/2014/main" id="{81930120-50DD-4EE0-B760-DE28D81CCD2A}"/>
            </a:ext>
          </a:extLst>
        </xdr:cNvPr>
        <xdr:cNvCxnSpPr/>
      </xdr:nvCxnSpPr>
      <xdr:spPr>
        <a:xfrm flipH="1" flipV="1">
          <a:off x="22154029" y="14029765"/>
          <a:ext cx="992468" cy="11953"/>
        </a:xfrm>
        <a:prstGeom prst="straightConnector1">
          <a:avLst/>
        </a:prstGeom>
        <a:ln w="12700"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21</xdr:col>
      <xdr:colOff>1375172</xdr:colOff>
      <xdr:row>36</xdr:row>
      <xdr:rowOff>89297</xdr:rowOff>
    </xdr:from>
    <xdr:to>
      <xdr:col>22</xdr:col>
      <xdr:colOff>577850</xdr:colOff>
      <xdr:row>36</xdr:row>
      <xdr:rowOff>95250</xdr:rowOff>
    </xdr:to>
    <xdr:cxnSp macro="">
      <xdr:nvCxnSpPr>
        <xdr:cNvPr id="15" name="Rechte verbindingslijn met pijl 14">
          <a:extLst>
            <a:ext uri="{FF2B5EF4-FFF2-40B4-BE49-F238E27FC236}">
              <a16:creationId xmlns:a16="http://schemas.microsoft.com/office/drawing/2014/main" id="{0F8AA393-23E1-4DB0-8CD7-1A3730FC48F7}"/>
            </a:ext>
          </a:extLst>
        </xdr:cNvPr>
        <xdr:cNvCxnSpPr/>
      </xdr:nvCxnSpPr>
      <xdr:spPr>
        <a:xfrm flipH="1" flipV="1">
          <a:off x="22133719" y="8983266"/>
          <a:ext cx="964803" cy="5953"/>
        </a:xfrm>
        <a:prstGeom prst="straightConnector1">
          <a:avLst/>
        </a:prstGeom>
        <a:ln w="12700"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21</xdr:col>
      <xdr:colOff>1367117</xdr:colOff>
      <xdr:row>35</xdr:row>
      <xdr:rowOff>123264</xdr:rowOff>
    </xdr:from>
    <xdr:to>
      <xdr:col>23</xdr:col>
      <xdr:colOff>616324</xdr:colOff>
      <xdr:row>35</xdr:row>
      <xdr:rowOff>123264</xdr:rowOff>
    </xdr:to>
    <xdr:cxnSp macro="">
      <xdr:nvCxnSpPr>
        <xdr:cNvPr id="16" name="Rechte verbindingslijn met pijl 15">
          <a:extLst>
            <a:ext uri="{FF2B5EF4-FFF2-40B4-BE49-F238E27FC236}">
              <a16:creationId xmlns:a16="http://schemas.microsoft.com/office/drawing/2014/main" id="{F4E34342-E9CA-404B-81B7-53F7AB08DA80}"/>
            </a:ext>
          </a:extLst>
        </xdr:cNvPr>
        <xdr:cNvCxnSpPr/>
      </xdr:nvCxnSpPr>
      <xdr:spPr>
        <a:xfrm flipH="1">
          <a:off x="22165235" y="8729382"/>
          <a:ext cx="1591236" cy="0"/>
        </a:xfrm>
        <a:prstGeom prst="straightConnector1">
          <a:avLst/>
        </a:prstGeom>
        <a:ln w="12700">
          <a:solidFill>
            <a:srgbClr val="00B05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21</xdr:col>
      <xdr:colOff>1369219</xdr:colOff>
      <xdr:row>41</xdr:row>
      <xdr:rowOff>0</xdr:rowOff>
    </xdr:from>
    <xdr:to>
      <xdr:col>24</xdr:col>
      <xdr:colOff>6350</xdr:colOff>
      <xdr:row>41</xdr:row>
      <xdr:rowOff>5953</xdr:rowOff>
    </xdr:to>
    <xdr:cxnSp macro="">
      <xdr:nvCxnSpPr>
        <xdr:cNvPr id="17" name="Rechte verbindingslijn met pijl 16">
          <a:extLst>
            <a:ext uri="{FF2B5EF4-FFF2-40B4-BE49-F238E27FC236}">
              <a16:creationId xmlns:a16="http://schemas.microsoft.com/office/drawing/2014/main" id="{790CADBC-C4A2-4FFD-BB7E-FF3495178747}"/>
            </a:ext>
          </a:extLst>
        </xdr:cNvPr>
        <xdr:cNvCxnSpPr/>
      </xdr:nvCxnSpPr>
      <xdr:spPr>
        <a:xfrm flipH="1">
          <a:off x="22127766" y="10203656"/>
          <a:ext cx="1613693" cy="5953"/>
        </a:xfrm>
        <a:prstGeom prst="straightConnector1">
          <a:avLst/>
        </a:prstGeom>
        <a:ln w="12700">
          <a:solidFill>
            <a:srgbClr val="00B05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21</xdr:col>
      <xdr:colOff>1367117</xdr:colOff>
      <xdr:row>49</xdr:row>
      <xdr:rowOff>56029</xdr:rowOff>
    </xdr:from>
    <xdr:to>
      <xdr:col>23</xdr:col>
      <xdr:colOff>631031</xdr:colOff>
      <xdr:row>49</xdr:row>
      <xdr:rowOff>59531</xdr:rowOff>
    </xdr:to>
    <xdr:cxnSp macro="">
      <xdr:nvCxnSpPr>
        <xdr:cNvPr id="18" name="Rechte verbindingslijn met pijl 17">
          <a:extLst>
            <a:ext uri="{FF2B5EF4-FFF2-40B4-BE49-F238E27FC236}">
              <a16:creationId xmlns:a16="http://schemas.microsoft.com/office/drawing/2014/main" id="{D4F596AB-A576-406C-B9BD-C12B50B688F6}"/>
            </a:ext>
          </a:extLst>
        </xdr:cNvPr>
        <xdr:cNvCxnSpPr/>
      </xdr:nvCxnSpPr>
      <xdr:spPr>
        <a:xfrm flipH="1" flipV="1">
          <a:off x="22125664" y="12069435"/>
          <a:ext cx="1609445" cy="3502"/>
        </a:xfrm>
        <a:prstGeom prst="straightConnector1">
          <a:avLst/>
        </a:prstGeom>
        <a:ln w="12700">
          <a:solidFill>
            <a:srgbClr val="00B05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21</xdr:col>
      <xdr:colOff>1363265</xdr:colOff>
      <xdr:row>47</xdr:row>
      <xdr:rowOff>101600</xdr:rowOff>
    </xdr:from>
    <xdr:to>
      <xdr:col>23</xdr:col>
      <xdr:colOff>1494</xdr:colOff>
      <xdr:row>47</xdr:row>
      <xdr:rowOff>107156</xdr:rowOff>
    </xdr:to>
    <xdr:cxnSp macro="">
      <xdr:nvCxnSpPr>
        <xdr:cNvPr id="19" name="Rechte verbindingslijn met pijl 18">
          <a:extLst>
            <a:ext uri="{FF2B5EF4-FFF2-40B4-BE49-F238E27FC236}">
              <a16:creationId xmlns:a16="http://schemas.microsoft.com/office/drawing/2014/main" id="{24A31B8A-7313-425E-A24F-F3DFC1C1B03E}"/>
            </a:ext>
          </a:extLst>
        </xdr:cNvPr>
        <xdr:cNvCxnSpPr/>
      </xdr:nvCxnSpPr>
      <xdr:spPr>
        <a:xfrm flipH="1">
          <a:off x="22121812" y="11662569"/>
          <a:ext cx="983760" cy="5556"/>
        </a:xfrm>
        <a:prstGeom prst="straightConnector1">
          <a:avLst/>
        </a:prstGeom>
        <a:ln w="12700"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21</xdr:col>
      <xdr:colOff>1333500</xdr:colOff>
      <xdr:row>68</xdr:row>
      <xdr:rowOff>123265</xdr:rowOff>
    </xdr:from>
    <xdr:to>
      <xdr:col>24</xdr:col>
      <xdr:colOff>4296</xdr:colOff>
      <xdr:row>68</xdr:row>
      <xdr:rowOff>127000</xdr:rowOff>
    </xdr:to>
    <xdr:cxnSp macro="">
      <xdr:nvCxnSpPr>
        <xdr:cNvPr id="20" name="Rechte verbindingslijn met pijl 19">
          <a:extLst>
            <a:ext uri="{FF2B5EF4-FFF2-40B4-BE49-F238E27FC236}">
              <a16:creationId xmlns:a16="http://schemas.microsoft.com/office/drawing/2014/main" id="{3E381810-78EA-42A2-A3EB-597F09A5593A}"/>
            </a:ext>
          </a:extLst>
        </xdr:cNvPr>
        <xdr:cNvCxnSpPr/>
      </xdr:nvCxnSpPr>
      <xdr:spPr>
        <a:xfrm flipH="1" flipV="1">
          <a:off x="22131618" y="16102853"/>
          <a:ext cx="1640354" cy="3735"/>
        </a:xfrm>
        <a:prstGeom prst="straightConnector1">
          <a:avLst/>
        </a:prstGeom>
        <a:ln w="1270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24</xdr:col>
      <xdr:colOff>220266</xdr:colOff>
      <xdr:row>49</xdr:row>
      <xdr:rowOff>157954</xdr:rowOff>
    </xdr:from>
    <xdr:to>
      <xdr:col>24</xdr:col>
      <xdr:colOff>232563</xdr:colOff>
      <xdr:row>68</xdr:row>
      <xdr:rowOff>83344</xdr:rowOff>
    </xdr:to>
    <xdr:cxnSp macro="">
      <xdr:nvCxnSpPr>
        <xdr:cNvPr id="21" name="Rechte verbindingslijn met pijl 20">
          <a:extLst>
            <a:ext uri="{FF2B5EF4-FFF2-40B4-BE49-F238E27FC236}">
              <a16:creationId xmlns:a16="http://schemas.microsoft.com/office/drawing/2014/main" id="{9F68569A-4626-426B-B227-F58F62E3B4D8}"/>
            </a:ext>
          </a:extLst>
        </xdr:cNvPr>
        <xdr:cNvCxnSpPr/>
      </xdr:nvCxnSpPr>
      <xdr:spPr>
        <a:xfrm flipV="1">
          <a:off x="23955375" y="12171360"/>
          <a:ext cx="12297" cy="4009234"/>
        </a:xfrm>
        <a:prstGeom prst="straightConnector1">
          <a:avLst/>
        </a:prstGeom>
        <a:ln w="12700">
          <a:solidFill>
            <a:srgbClr val="FF0000"/>
          </a:solidFill>
          <a:headEnd type="triangle" w="med" len="med"/>
          <a:tailEnd type="triangl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24</xdr:col>
      <xdr:colOff>257736</xdr:colOff>
      <xdr:row>36</xdr:row>
      <xdr:rowOff>11205</xdr:rowOff>
    </xdr:from>
    <xdr:to>
      <xdr:col>24</xdr:col>
      <xdr:colOff>1277471</xdr:colOff>
      <xdr:row>40</xdr:row>
      <xdr:rowOff>100852</xdr:rowOff>
    </xdr:to>
    <xdr:cxnSp macro="">
      <xdr:nvCxnSpPr>
        <xdr:cNvPr id="22" name="Verbindingslijn: gekromd 21">
          <a:extLst>
            <a:ext uri="{FF2B5EF4-FFF2-40B4-BE49-F238E27FC236}">
              <a16:creationId xmlns:a16="http://schemas.microsoft.com/office/drawing/2014/main" id="{5C995D0A-75B9-4515-A5AA-2BF5C5059F6D}"/>
            </a:ext>
          </a:extLst>
        </xdr:cNvPr>
        <xdr:cNvCxnSpPr/>
      </xdr:nvCxnSpPr>
      <xdr:spPr>
        <a:xfrm rot="16200000" flipH="1">
          <a:off x="23997397" y="8869455"/>
          <a:ext cx="1075765" cy="1019735"/>
        </a:xfrm>
        <a:prstGeom prst="curvedConnector3">
          <a:avLst>
            <a:gd name="adj1" fmla="val 50000"/>
          </a:avLst>
        </a:prstGeom>
        <a:ln w="12700">
          <a:solidFill>
            <a:srgbClr val="00B05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24</xdr:col>
      <xdr:colOff>215900</xdr:colOff>
      <xdr:row>41</xdr:row>
      <xdr:rowOff>31748</xdr:rowOff>
    </xdr:from>
    <xdr:to>
      <xdr:col>24</xdr:col>
      <xdr:colOff>1166816</xdr:colOff>
      <xdr:row>49</xdr:row>
      <xdr:rowOff>160738</xdr:rowOff>
    </xdr:to>
    <xdr:cxnSp macro="">
      <xdr:nvCxnSpPr>
        <xdr:cNvPr id="23" name="Verbindingslijn: gekromd 22">
          <a:extLst>
            <a:ext uri="{FF2B5EF4-FFF2-40B4-BE49-F238E27FC236}">
              <a16:creationId xmlns:a16="http://schemas.microsoft.com/office/drawing/2014/main" id="{310E7B13-DD72-464A-AC4F-372160199F8D}"/>
            </a:ext>
          </a:extLst>
        </xdr:cNvPr>
        <xdr:cNvCxnSpPr/>
      </xdr:nvCxnSpPr>
      <xdr:spPr>
        <a:xfrm rot="16200000" flipH="1">
          <a:off x="23457097" y="10729316"/>
          <a:ext cx="1938740" cy="950916"/>
        </a:xfrm>
        <a:prstGeom prst="curvedConnector3">
          <a:avLst>
            <a:gd name="adj1" fmla="val 50000"/>
          </a:avLst>
        </a:prstGeom>
        <a:ln w="12700">
          <a:solidFill>
            <a:srgbClr val="00B05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24</xdr:col>
      <xdr:colOff>695325</xdr:colOff>
      <xdr:row>10</xdr:row>
      <xdr:rowOff>76200</xdr:rowOff>
    </xdr:from>
    <xdr:to>
      <xdr:col>24</xdr:col>
      <xdr:colOff>1314449</xdr:colOff>
      <xdr:row>13</xdr:row>
      <xdr:rowOff>123824</xdr:rowOff>
    </xdr:to>
    <xdr:cxnSp macro="">
      <xdr:nvCxnSpPr>
        <xdr:cNvPr id="24" name="Verbindingslijn: gekromd 23">
          <a:extLst>
            <a:ext uri="{FF2B5EF4-FFF2-40B4-BE49-F238E27FC236}">
              <a16:creationId xmlns:a16="http://schemas.microsoft.com/office/drawing/2014/main" id="{0B30D9CA-4846-4881-A068-91A0BF17BFAB}"/>
            </a:ext>
          </a:extLst>
        </xdr:cNvPr>
        <xdr:cNvCxnSpPr/>
      </xdr:nvCxnSpPr>
      <xdr:spPr>
        <a:xfrm rot="16200000" flipH="1">
          <a:off x="24317325" y="2924175"/>
          <a:ext cx="904874" cy="619124"/>
        </a:xfrm>
        <a:prstGeom prst="curvedConnector3">
          <a:avLst>
            <a:gd name="adj1" fmla="val 50000"/>
          </a:avLst>
        </a:prstGeom>
        <a:ln w="12700">
          <a:solidFill>
            <a:srgbClr val="00B05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24</xdr:col>
      <xdr:colOff>800099</xdr:colOff>
      <xdr:row>6</xdr:row>
      <xdr:rowOff>180974</xdr:rowOff>
    </xdr:from>
    <xdr:to>
      <xdr:col>24</xdr:col>
      <xdr:colOff>1228725</xdr:colOff>
      <xdr:row>9</xdr:row>
      <xdr:rowOff>190500</xdr:rowOff>
    </xdr:to>
    <xdr:cxnSp macro="">
      <xdr:nvCxnSpPr>
        <xdr:cNvPr id="25" name="Verbindingslijn: gekromd 24">
          <a:extLst>
            <a:ext uri="{FF2B5EF4-FFF2-40B4-BE49-F238E27FC236}">
              <a16:creationId xmlns:a16="http://schemas.microsoft.com/office/drawing/2014/main" id="{3CB463AC-E123-4C71-A5F8-805110570B54}"/>
            </a:ext>
          </a:extLst>
        </xdr:cNvPr>
        <xdr:cNvCxnSpPr/>
      </xdr:nvCxnSpPr>
      <xdr:spPr>
        <a:xfrm rot="16200000" flipH="1">
          <a:off x="24431624" y="2105024"/>
          <a:ext cx="695326" cy="428626"/>
        </a:xfrm>
        <a:prstGeom prst="curvedConnector3">
          <a:avLst>
            <a:gd name="adj1" fmla="val 50000"/>
          </a:avLst>
        </a:prstGeom>
        <a:ln w="12700">
          <a:solidFill>
            <a:srgbClr val="00B05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549089</xdr:colOff>
      <xdr:row>12</xdr:row>
      <xdr:rowOff>119061</xdr:rowOff>
    </xdr:from>
    <xdr:to>
      <xdr:col>28</xdr:col>
      <xdr:colOff>309563</xdr:colOff>
      <xdr:row>24</xdr:row>
      <xdr:rowOff>145677</xdr:rowOff>
    </xdr:to>
    <xdr:cxnSp macro="">
      <xdr:nvCxnSpPr>
        <xdr:cNvPr id="28" name="Verbindingslijn: gebogen 27">
          <a:extLst>
            <a:ext uri="{FF2B5EF4-FFF2-40B4-BE49-F238E27FC236}">
              <a16:creationId xmlns:a16="http://schemas.microsoft.com/office/drawing/2014/main" id="{ED802222-69DE-040A-0125-08AC5A6155BB}"/>
            </a:ext>
          </a:extLst>
        </xdr:cNvPr>
        <xdr:cNvCxnSpPr/>
      </xdr:nvCxnSpPr>
      <xdr:spPr>
        <a:xfrm rot="10800000" flipV="1">
          <a:off x="18142324" y="3323943"/>
          <a:ext cx="9352710" cy="2716028"/>
        </a:xfrm>
        <a:prstGeom prst="bentConnector3">
          <a:avLst>
            <a:gd name="adj1" fmla="val -27"/>
          </a:avLst>
        </a:prstGeom>
        <a:ln w="19050">
          <a:headEnd type="triangle"/>
          <a:tailEnd type="triangle"/>
        </a:ln>
      </xdr:spPr>
      <xdr:style>
        <a:lnRef idx="1">
          <a:schemeClr val="accent6"/>
        </a:lnRef>
        <a:fillRef idx="0">
          <a:schemeClr val="accent6"/>
        </a:fillRef>
        <a:effectRef idx="0">
          <a:schemeClr val="accent6"/>
        </a:effectRef>
        <a:fontRef idx="minor">
          <a:schemeClr val="tx1"/>
        </a:fontRef>
      </xdr:style>
    </xdr:cxnSp>
    <xdr:clientData/>
  </xdr:twoCellAnchor>
  <xdr:twoCellAnchor>
    <xdr:from>
      <xdr:col>17</xdr:col>
      <xdr:colOff>678656</xdr:colOff>
      <xdr:row>41</xdr:row>
      <xdr:rowOff>83344</xdr:rowOff>
    </xdr:from>
    <xdr:to>
      <xdr:col>28</xdr:col>
      <xdr:colOff>297655</xdr:colOff>
      <xdr:row>53</xdr:row>
      <xdr:rowOff>119064</xdr:rowOff>
    </xdr:to>
    <xdr:cxnSp macro="">
      <xdr:nvCxnSpPr>
        <xdr:cNvPr id="35" name="Verbindingslijn: gebogen 34">
          <a:extLst>
            <a:ext uri="{FF2B5EF4-FFF2-40B4-BE49-F238E27FC236}">
              <a16:creationId xmlns:a16="http://schemas.microsoft.com/office/drawing/2014/main" id="{49ABF70F-CB24-103F-41FB-9CACB0275CF2}"/>
            </a:ext>
          </a:extLst>
        </xdr:cNvPr>
        <xdr:cNvCxnSpPr/>
      </xdr:nvCxnSpPr>
      <xdr:spPr>
        <a:xfrm rot="10800000" flipV="1">
          <a:off x="16347281" y="8405813"/>
          <a:ext cx="8239124" cy="2631282"/>
        </a:xfrm>
        <a:prstGeom prst="bentConnector3">
          <a:avLst>
            <a:gd name="adj1" fmla="val 0"/>
          </a:avLst>
        </a:prstGeom>
        <a:ln w="19050">
          <a:headEnd type="triangle"/>
          <a:tailEnd type="triangle"/>
        </a:ln>
      </xdr:spPr>
      <xdr:style>
        <a:lnRef idx="1">
          <a:schemeClr val="accent6"/>
        </a:lnRef>
        <a:fillRef idx="0">
          <a:schemeClr val="accent6"/>
        </a:fillRef>
        <a:effectRef idx="0">
          <a:schemeClr val="accent6"/>
        </a:effectRef>
        <a:fontRef idx="minor">
          <a:schemeClr val="tx1"/>
        </a:fontRef>
      </xdr:style>
    </xdr:cxnSp>
    <xdr:clientData/>
  </xdr:twoCellAnchor>
  <xdr:twoCellAnchor>
    <xdr:from>
      <xdr:col>2</xdr:col>
      <xdr:colOff>266700</xdr:colOff>
      <xdr:row>1</xdr:row>
      <xdr:rowOff>9525</xdr:rowOff>
    </xdr:from>
    <xdr:to>
      <xdr:col>3</xdr:col>
      <xdr:colOff>582082</xdr:colOff>
      <xdr:row>1</xdr:row>
      <xdr:rowOff>304022</xdr:rowOff>
    </xdr:to>
    <xdr:sp macro="[0]!ThisWorkbook.Beveiliging_Aan" textlink="">
      <xdr:nvSpPr>
        <xdr:cNvPr id="26" name="Rechthoek: afgeronde hoeken 25">
          <a:extLst>
            <a:ext uri="{FF2B5EF4-FFF2-40B4-BE49-F238E27FC236}">
              <a16:creationId xmlns:a16="http://schemas.microsoft.com/office/drawing/2014/main" id="{C1EC6CA9-668E-493A-89A0-2EDCA7F36BAB}"/>
            </a:ext>
          </a:extLst>
        </xdr:cNvPr>
        <xdr:cNvSpPr/>
      </xdr:nvSpPr>
      <xdr:spPr>
        <a:xfrm>
          <a:off x="2619375" y="209550"/>
          <a:ext cx="1029757" cy="294497"/>
        </a:xfrm>
        <a:prstGeom prst="roundRect">
          <a:avLst/>
        </a:prstGeom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nl-NL" sz="1200" b="1"/>
            <a:t>Aan</a:t>
          </a:r>
        </a:p>
      </xdr:txBody>
    </xdr:sp>
    <xdr:clientData/>
  </xdr:twoCellAnchor>
  <xdr:twoCellAnchor>
    <xdr:from>
      <xdr:col>3</xdr:col>
      <xdr:colOff>962025</xdr:colOff>
      <xdr:row>0</xdr:row>
      <xdr:rowOff>304800</xdr:rowOff>
    </xdr:from>
    <xdr:to>
      <xdr:col>5</xdr:col>
      <xdr:colOff>42380</xdr:colOff>
      <xdr:row>2</xdr:row>
      <xdr:rowOff>23532</xdr:rowOff>
    </xdr:to>
    <xdr:sp macro="[0]!ThisWorkbook.Beveiliging_Uit" textlink="">
      <xdr:nvSpPr>
        <xdr:cNvPr id="27" name="Rechthoek: afgeronde hoeken 26">
          <a:extLst>
            <a:ext uri="{FF2B5EF4-FFF2-40B4-BE49-F238E27FC236}">
              <a16:creationId xmlns:a16="http://schemas.microsoft.com/office/drawing/2014/main" id="{4E1E1560-EA22-4104-A9D4-C7D8B3F8832D}"/>
            </a:ext>
          </a:extLst>
        </xdr:cNvPr>
        <xdr:cNvSpPr/>
      </xdr:nvSpPr>
      <xdr:spPr>
        <a:xfrm>
          <a:off x="4029075" y="304800"/>
          <a:ext cx="1042505" cy="347382"/>
        </a:xfrm>
        <a:prstGeom prst="roundRect">
          <a:avLst/>
        </a:prstGeom>
        <a:ln/>
      </xdr:spPr>
      <xdr:style>
        <a:lnRef idx="3">
          <a:schemeClr val="lt1"/>
        </a:lnRef>
        <a:fillRef idx="1">
          <a:schemeClr val="accent1"/>
        </a:fillRef>
        <a:effectRef idx="1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nl-NL" sz="1100"/>
            <a:t>UIT</a:t>
          </a:r>
        </a:p>
      </xdr:txBody>
    </xdr:sp>
    <xdr:clientData/>
  </xdr:twoCellAnchor>
  <xdr:twoCellAnchor>
    <xdr:from>
      <xdr:col>14</xdr:col>
      <xdr:colOff>100853</xdr:colOff>
      <xdr:row>8</xdr:row>
      <xdr:rowOff>112059</xdr:rowOff>
    </xdr:from>
    <xdr:to>
      <xdr:col>18</xdr:col>
      <xdr:colOff>432920</xdr:colOff>
      <xdr:row>31</xdr:row>
      <xdr:rowOff>118409</xdr:rowOff>
    </xdr:to>
    <xdr:cxnSp macro="">
      <xdr:nvCxnSpPr>
        <xdr:cNvPr id="75" name="Verbindingslijn: gebogen 74">
          <a:extLst>
            <a:ext uri="{FF2B5EF4-FFF2-40B4-BE49-F238E27FC236}">
              <a16:creationId xmlns:a16="http://schemas.microsoft.com/office/drawing/2014/main" id="{CB31AD66-0644-4CDB-B42E-253C1503D69C}"/>
            </a:ext>
          </a:extLst>
        </xdr:cNvPr>
        <xdr:cNvCxnSpPr/>
      </xdr:nvCxnSpPr>
      <xdr:spPr>
        <a:xfrm>
          <a:off x="14735735" y="2353235"/>
          <a:ext cx="4276538" cy="5340350"/>
        </a:xfrm>
        <a:prstGeom prst="bentConnector3">
          <a:avLst>
            <a:gd name="adj1" fmla="val 115136"/>
          </a:avLst>
        </a:prstGeom>
        <a:ln w="19050">
          <a:headEnd type="triangle"/>
          <a:tailEnd type="triangle"/>
        </a:ln>
      </xdr:spPr>
      <xdr:style>
        <a:lnRef idx="1">
          <a:schemeClr val="accent6"/>
        </a:lnRef>
        <a:fillRef idx="0">
          <a:schemeClr val="accent6"/>
        </a:fillRef>
        <a:effectRef idx="0">
          <a:schemeClr val="accent6"/>
        </a:effectRef>
        <a:fontRef idx="minor">
          <a:schemeClr val="tx1"/>
        </a:fontRef>
      </xdr:style>
    </xdr:cxn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https://d.docs.live.net/68d5ed352cac11a4/_Crypto/Archief%20Binance%20Trades/2023-w1.xlsm" TargetMode="External"/><Relationship Id="rId1" Type="http://schemas.openxmlformats.org/officeDocument/2006/relationships/externalLinkPath" Target="/68d5ed352cac11a4/_Crypto/Archief%20Binance%20Trades/2023-w1.xlsm" TargetMode="External"/></Relationships>
</file>

<file path=xl/externalLinks/_rels/externalLink2.xml.rels><?xml version="1.0" encoding="UTF-8" standalone="yes"?>
<Relationships xmlns="http://schemas.openxmlformats.org/package/2006/relationships"><Relationship Id="rId2" Type="http://schemas.openxmlformats.org/officeDocument/2006/relationships/externalLinkPath" Target="https://d.docs.live.net/68d5ed352cac11a4/_Crypto/_%20Binance%20Trades%202023.xlsm" TargetMode="External"/><Relationship Id="rId1" Type="http://schemas.openxmlformats.org/officeDocument/2006/relationships/externalLinkPath" Target="/68d5ed352cac11a4/_Crypto/_%20Binance%20Trades%202023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W1 2023"/>
    </sheetNames>
    <sheetDataSet>
      <sheetData sheetId="0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AT_W24 2023"/>
      <sheetName val="Strategie &amp; Bb Check"/>
      <sheetName val="Resultaten Trades"/>
      <sheetName val="Resultaten Investeringen"/>
      <sheetName val="HulpTab"/>
      <sheetName val="x trades naar 1"/>
      <sheetName val="Kladblok"/>
      <sheetName val="Info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</sheetDataSet>
  </externalBook>
</externalLink>
</file>

<file path=xl/persons/person.xml><?xml version="1.0" encoding="utf-8"?>
<personList xmlns="http://schemas.microsoft.com/office/spreadsheetml/2018/threadedcomments" xmlns:x="http://schemas.openxmlformats.org/spreadsheetml/2006/main"/>
</file>

<file path=xl/theme/theme1.xml><?xml version="1.0" encoding="utf-8"?>
<a:theme xmlns:a="http://schemas.openxmlformats.org/drawingml/2006/main" name="Office 2013 - 2022 Thema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20185B-4670-41B2-B3FA-987716E34382}">
  <sheetPr codeName="Blad4">
    <pageSetUpPr fitToPage="1"/>
  </sheetPr>
  <dimension ref="B1:AE81"/>
  <sheetViews>
    <sheetView tabSelected="1" topLeftCell="A2" zoomScale="70" zoomScaleNormal="70" workbookViewId="0">
      <selection activeCell="B19" sqref="B19:J32"/>
    </sheetView>
  </sheetViews>
  <sheetFormatPr defaultColWidth="8.7109375" defaultRowHeight="15" x14ac:dyDescent="0.25"/>
  <cols>
    <col min="1" max="1" width="4.5703125" style="1" customWidth="1"/>
    <col min="2" max="2" width="30.7109375" style="1" customWidth="1"/>
    <col min="3" max="3" width="10.7109375" style="1" customWidth="1"/>
    <col min="4" max="8" width="14.7109375" style="1" customWidth="1"/>
    <col min="9" max="9" width="16.7109375" style="1" customWidth="1"/>
    <col min="10" max="10" width="5.85546875" style="1" customWidth="1"/>
    <col min="11" max="11" width="10.7109375" style="1" customWidth="1"/>
    <col min="12" max="12" width="40.7109375" style="1" customWidth="1"/>
    <col min="13" max="13" width="10.7109375" style="1" customWidth="1"/>
    <col min="14" max="18" width="14.7109375" style="1" customWidth="1"/>
    <col min="19" max="19" width="16.7109375" style="1" customWidth="1"/>
    <col min="20" max="20" width="5.85546875" style="1" customWidth="1"/>
    <col min="21" max="21" width="10.7109375" style="1" customWidth="1"/>
    <col min="22" max="22" width="27.140625" style="2" customWidth="1"/>
    <col min="23" max="23" width="8.7109375" style="1"/>
    <col min="24" max="24" width="9.42578125" style="1" bestFit="1" customWidth="1"/>
    <col min="25" max="25" width="27.7109375" style="1" customWidth="1"/>
    <col min="26" max="26" width="8.7109375" style="1" customWidth="1"/>
    <col min="27" max="27" width="10.7109375" style="1" customWidth="1"/>
    <col min="28" max="28" width="27.7109375" style="1" customWidth="1"/>
    <col min="29" max="29" width="8.7109375" style="1"/>
    <col min="30" max="30" width="13.85546875" style="1" customWidth="1"/>
    <col min="31" max="16384" width="8.7109375" style="1"/>
  </cols>
  <sheetData>
    <row r="1" spans="2:31" ht="24.95" customHeight="1" thickBot="1" x14ac:dyDescent="0.3">
      <c r="V1" s="3" t="s">
        <v>9</v>
      </c>
      <c r="W1" s="74">
        <v>250</v>
      </c>
      <c r="Y1" s="3" t="s">
        <v>17</v>
      </c>
      <c r="Z1" s="72">
        <v>-1.2500000000000001E-2</v>
      </c>
    </row>
    <row r="2" spans="2:31" ht="24.95" customHeight="1" thickBot="1" x14ac:dyDescent="0.3">
      <c r="B2" s="71" t="s">
        <v>77</v>
      </c>
      <c r="V2" s="3" t="s">
        <v>12</v>
      </c>
      <c r="W2" s="75">
        <v>0.5</v>
      </c>
      <c r="Y2" s="3" t="s">
        <v>18</v>
      </c>
      <c r="Z2" s="73">
        <v>0.01</v>
      </c>
    </row>
    <row r="3" spans="2:31" ht="15.75" thickBot="1" x14ac:dyDescent="0.3"/>
    <row r="4" spans="2:31" ht="30" customHeight="1" thickBot="1" x14ac:dyDescent="0.3">
      <c r="B4" s="117" t="s">
        <v>0</v>
      </c>
      <c r="C4" s="118"/>
      <c r="D4" s="118"/>
      <c r="E4" s="118"/>
      <c r="F4" s="118"/>
      <c r="G4" s="118"/>
      <c r="H4" s="119"/>
      <c r="I4" s="11" t="s">
        <v>2</v>
      </c>
      <c r="J4" s="12"/>
      <c r="L4" s="117" t="s">
        <v>1</v>
      </c>
      <c r="M4" s="118"/>
      <c r="N4" s="118"/>
      <c r="O4" s="118"/>
      <c r="P4" s="118"/>
      <c r="Q4" s="118"/>
      <c r="R4" s="119"/>
      <c r="S4" s="11"/>
      <c r="V4" s="102" t="s">
        <v>72</v>
      </c>
      <c r="W4" s="103"/>
      <c r="X4" s="103"/>
      <c r="Y4" s="103"/>
      <c r="Z4" s="104"/>
    </row>
    <row r="5" spans="2:31" ht="15.75" thickBot="1" x14ac:dyDescent="0.3">
      <c r="V5" s="105"/>
      <c r="W5" s="106"/>
      <c r="X5" s="106"/>
      <c r="Y5" s="106"/>
      <c r="Z5" s="107"/>
    </row>
    <row r="6" spans="2:31" ht="30" customHeight="1" thickBot="1" x14ac:dyDescent="0.3">
      <c r="B6" s="13" t="s">
        <v>3</v>
      </c>
      <c r="C6" s="95"/>
      <c r="D6" s="86"/>
      <c r="E6" s="95"/>
      <c r="F6" s="95"/>
      <c r="G6" s="95"/>
      <c r="H6" s="95"/>
      <c r="I6" s="95"/>
      <c r="J6" s="96"/>
      <c r="L6" s="13" t="s">
        <v>4</v>
      </c>
      <c r="M6" s="97" t="s">
        <v>5</v>
      </c>
      <c r="N6" s="98"/>
      <c r="O6" s="97"/>
      <c r="P6" s="97"/>
      <c r="Q6" s="97"/>
      <c r="R6" s="97"/>
      <c r="S6" s="97"/>
      <c r="T6" s="99"/>
      <c r="V6" s="14" t="s">
        <v>6</v>
      </c>
      <c r="W6" s="92" t="s">
        <v>7</v>
      </c>
      <c r="X6" s="93"/>
      <c r="Y6" s="93"/>
      <c r="Z6" s="94"/>
      <c r="AB6" s="15" t="s">
        <v>8</v>
      </c>
      <c r="AC6" s="86" t="s">
        <v>5</v>
      </c>
      <c r="AD6" s="86"/>
      <c r="AE6" s="87"/>
    </row>
    <row r="7" spans="2:31" ht="18" customHeight="1" thickBot="1" x14ac:dyDescent="0.3">
      <c r="B7" s="16" t="s">
        <v>9</v>
      </c>
      <c r="D7" s="66">
        <v>250</v>
      </c>
      <c r="E7" s="1" t="s">
        <v>10</v>
      </c>
      <c r="J7" s="17"/>
      <c r="L7" s="16" t="s">
        <v>9</v>
      </c>
      <c r="N7" s="82">
        <v>250</v>
      </c>
      <c r="O7" s="1" t="s">
        <v>10</v>
      </c>
      <c r="T7" s="17"/>
      <c r="V7" s="18">
        <v>2E-3</v>
      </c>
      <c r="Y7" s="1" t="s">
        <v>11</v>
      </c>
      <c r="AB7" s="19"/>
      <c r="AC7" s="20"/>
      <c r="AD7" s="20"/>
      <c r="AE7" s="21"/>
    </row>
    <row r="8" spans="2:31" ht="18" customHeight="1" thickBot="1" x14ac:dyDescent="0.3">
      <c r="B8" s="16" t="s">
        <v>12</v>
      </c>
      <c r="C8" s="67">
        <v>0.33329999999999999</v>
      </c>
      <c r="D8" s="22">
        <f>+D7*C8</f>
        <v>83.325000000000003</v>
      </c>
      <c r="E8" s="1" t="s">
        <v>13</v>
      </c>
      <c r="I8" s="23" t="s">
        <v>14</v>
      </c>
      <c r="J8" s="17"/>
      <c r="L8" s="16" t="s">
        <v>12</v>
      </c>
      <c r="M8" s="81">
        <v>0.5</v>
      </c>
      <c r="N8" s="22">
        <f>+N7*M8</f>
        <v>125</v>
      </c>
      <c r="R8" s="23" t="s">
        <v>14</v>
      </c>
      <c r="T8" s="17"/>
      <c r="V8" s="24">
        <f t="shared" ref="V8:V24" si="0">+V7-0.2%</f>
        <v>0</v>
      </c>
      <c r="X8" s="1" t="s">
        <v>15</v>
      </c>
      <c r="AB8" s="16" t="s">
        <v>16</v>
      </c>
      <c r="AC8" s="70">
        <v>1.2500000000000001E-2</v>
      </c>
      <c r="AE8" s="17"/>
    </row>
    <row r="9" spans="2:31" ht="18" customHeight="1" thickBot="1" x14ac:dyDescent="0.3">
      <c r="B9" s="16" t="s">
        <v>17</v>
      </c>
      <c r="C9" s="25"/>
      <c r="D9" s="68">
        <v>-1.2500000000000001E-2</v>
      </c>
      <c r="J9" s="17"/>
      <c r="L9" s="16" t="s">
        <v>17</v>
      </c>
      <c r="M9" s="25"/>
      <c r="N9" s="80">
        <v>-1.2500000000000001E-2</v>
      </c>
      <c r="T9" s="17"/>
      <c r="V9" s="24">
        <f t="shared" si="0"/>
        <v>-2E-3</v>
      </c>
      <c r="AB9" s="16" t="s">
        <v>18</v>
      </c>
      <c r="AC9" s="70">
        <v>0.01</v>
      </c>
      <c r="AE9" s="17"/>
    </row>
    <row r="10" spans="2:31" ht="18" customHeight="1" x14ac:dyDescent="0.25">
      <c r="B10" s="16"/>
      <c r="C10" s="25"/>
      <c r="D10" s="26"/>
      <c r="J10" s="17"/>
      <c r="L10" s="16"/>
      <c r="M10" s="25"/>
      <c r="N10" s="26"/>
      <c r="T10" s="17"/>
      <c r="V10" s="24">
        <f t="shared" si="0"/>
        <v>-4.0000000000000001E-3</v>
      </c>
      <c r="Y10" t="s">
        <v>19</v>
      </c>
      <c r="AB10" s="27" t="s">
        <v>20</v>
      </c>
      <c r="AD10" s="28" t="s">
        <v>21</v>
      </c>
      <c r="AE10" s="17"/>
    </row>
    <row r="11" spans="2:31" ht="24.95" customHeight="1" thickBot="1" x14ac:dyDescent="0.3">
      <c r="B11" s="29"/>
      <c r="C11" s="2"/>
      <c r="D11" s="30" t="s">
        <v>22</v>
      </c>
      <c r="E11" s="31" t="s">
        <v>23</v>
      </c>
      <c r="F11" s="32" t="s">
        <v>24</v>
      </c>
      <c r="G11" s="88" t="s">
        <v>25</v>
      </c>
      <c r="H11" s="90" t="s">
        <v>26</v>
      </c>
      <c r="I11" s="90" t="s">
        <v>27</v>
      </c>
      <c r="J11" s="17"/>
      <c r="L11" s="16" t="s">
        <v>28</v>
      </c>
      <c r="M11" s="25"/>
      <c r="N11" s="26"/>
      <c r="T11" s="17"/>
      <c r="V11" s="24">
        <f t="shared" si="0"/>
        <v>-6.0000000000000001E-3</v>
      </c>
      <c r="AB11" s="29"/>
      <c r="AD11" s="28"/>
      <c r="AE11" s="17"/>
    </row>
    <row r="12" spans="2:31" ht="24.95" customHeight="1" thickBot="1" x14ac:dyDescent="0.3">
      <c r="B12" s="29"/>
      <c r="C12" s="33" t="s">
        <v>29</v>
      </c>
      <c r="D12" s="34">
        <f>+C8*D7</f>
        <v>83.325000000000003</v>
      </c>
      <c r="E12" s="35">
        <f>+C8*D7</f>
        <v>83.325000000000003</v>
      </c>
      <c r="F12" s="36">
        <f>+D7*C8</f>
        <v>83.325000000000003</v>
      </c>
      <c r="G12" s="89"/>
      <c r="H12" s="91"/>
      <c r="I12" s="91"/>
      <c r="J12" s="17"/>
      <c r="L12" s="16" t="s">
        <v>18</v>
      </c>
      <c r="M12" s="25"/>
      <c r="N12" s="79">
        <v>0.01</v>
      </c>
      <c r="T12" s="17"/>
      <c r="V12" s="24">
        <f t="shared" si="0"/>
        <v>-8.0000000000000002E-3</v>
      </c>
      <c r="AB12" s="37" t="s">
        <v>30</v>
      </c>
      <c r="AC12" s="38">
        <f>1%/(2*AC9)</f>
        <v>0.5</v>
      </c>
      <c r="AD12" s="39" t="s">
        <v>31</v>
      </c>
      <c r="AE12" s="40"/>
    </row>
    <row r="13" spans="2:31" ht="18" customHeight="1" thickBot="1" x14ac:dyDescent="0.3">
      <c r="B13" s="29" t="s">
        <v>32</v>
      </c>
      <c r="C13" s="69">
        <v>0.25</v>
      </c>
      <c r="D13" s="41">
        <f>+D12*C13</f>
        <v>20.831250000000001</v>
      </c>
      <c r="E13" s="41">
        <f>+E12*C13</f>
        <v>20.831250000000001</v>
      </c>
      <c r="F13" s="41">
        <f>+F12*C13</f>
        <v>20.831250000000001</v>
      </c>
      <c r="G13" s="83">
        <f>+D9*1/C8*1/(C13)</f>
        <v>-0.15001500150015004</v>
      </c>
      <c r="H13" s="42">
        <f>+G13*F13</f>
        <v>-3.1250000000000004</v>
      </c>
      <c r="I13" s="43">
        <f>+H13/D7</f>
        <v>-1.2500000000000002E-2</v>
      </c>
      <c r="J13" s="17"/>
      <c r="L13" s="16"/>
      <c r="M13" s="33" t="s">
        <v>29</v>
      </c>
      <c r="N13" s="44" t="s">
        <v>33</v>
      </c>
      <c r="T13" s="17"/>
      <c r="V13" s="24">
        <f t="shared" si="0"/>
        <v>-0.01</v>
      </c>
      <c r="X13" t="s">
        <v>34</v>
      </c>
      <c r="AB13" s="45"/>
      <c r="AC13" s="46"/>
      <c r="AD13" s="46"/>
      <c r="AE13" s="47"/>
    </row>
    <row r="14" spans="2:31" ht="18" customHeight="1" thickBot="1" x14ac:dyDescent="0.3">
      <c r="B14" s="29" t="s">
        <v>35</v>
      </c>
      <c r="C14" s="69">
        <v>0.25</v>
      </c>
      <c r="D14" s="41">
        <f>+D12*C14</f>
        <v>20.831250000000001</v>
      </c>
      <c r="E14" s="41">
        <f>+E12*C14</f>
        <v>20.831250000000001</v>
      </c>
      <c r="F14" s="41">
        <f>+F12*C14</f>
        <v>20.831250000000001</v>
      </c>
      <c r="G14" s="84">
        <f>+D9*1/C8*1/(C13+C14)</f>
        <v>-7.5007500750075021E-2</v>
      </c>
      <c r="H14" s="42">
        <f>+G14*(F14+F13)</f>
        <v>-3.1250000000000004</v>
      </c>
      <c r="I14" s="43">
        <f>+H14/D7</f>
        <v>-1.2500000000000002E-2</v>
      </c>
      <c r="J14" s="17"/>
      <c r="L14" s="29" t="s">
        <v>32</v>
      </c>
      <c r="M14" s="77">
        <v>0.25</v>
      </c>
      <c r="N14" s="48">
        <v>0</v>
      </c>
      <c r="O14" s="1" t="s">
        <v>36</v>
      </c>
      <c r="T14" s="17"/>
      <c r="V14" s="24">
        <f t="shared" si="0"/>
        <v>-1.2E-2</v>
      </c>
      <c r="Y14" s="1" t="s">
        <v>37</v>
      </c>
    </row>
    <row r="15" spans="2:31" ht="18" customHeight="1" thickBot="1" x14ac:dyDescent="0.3">
      <c r="B15" s="29" t="s">
        <v>38</v>
      </c>
      <c r="C15" s="69">
        <v>0.5</v>
      </c>
      <c r="D15" s="35">
        <f>+D12*C15</f>
        <v>41.662500000000001</v>
      </c>
      <c r="E15" s="41">
        <f>+E12*C15</f>
        <v>41.662500000000001</v>
      </c>
      <c r="F15" s="41">
        <f>+F12*C15</f>
        <v>41.662500000000001</v>
      </c>
      <c r="G15" s="85">
        <f>+D9*1/C8*1/(C13+C14+C15)</f>
        <v>-3.750375037503751E-2</v>
      </c>
      <c r="H15" s="42">
        <f>+G15*(+F13+F14+F15)</f>
        <v>-3.1250000000000004</v>
      </c>
      <c r="I15" s="49">
        <f>+H15/D7</f>
        <v>-1.2500000000000002E-2</v>
      </c>
      <c r="J15" s="17"/>
      <c r="L15" s="50" t="s">
        <v>39</v>
      </c>
      <c r="M15" s="25"/>
      <c r="N15" s="78">
        <v>2E-3</v>
      </c>
      <c r="O15" s="1" t="s">
        <v>40</v>
      </c>
      <c r="T15" s="17"/>
      <c r="V15" s="24">
        <f t="shared" si="0"/>
        <v>-1.4E-2</v>
      </c>
    </row>
    <row r="16" spans="2:31" ht="18" customHeight="1" thickBot="1" x14ac:dyDescent="0.3">
      <c r="B16" s="45"/>
      <c r="C16" s="51"/>
      <c r="D16" s="52">
        <f>SUM(D13:D15)</f>
        <v>83.325000000000003</v>
      </c>
      <c r="E16" s="46"/>
      <c r="F16" s="46"/>
      <c r="G16" s="46"/>
      <c r="H16" s="52"/>
      <c r="I16" s="46"/>
      <c r="J16" s="47"/>
      <c r="L16" s="53"/>
      <c r="M16" s="25"/>
      <c r="N16" s="43"/>
      <c r="T16" s="17"/>
      <c r="V16" s="24">
        <f t="shared" si="0"/>
        <v>-1.6E-2</v>
      </c>
    </row>
    <row r="17" spans="2:26" ht="18" customHeight="1" thickBot="1" x14ac:dyDescent="0.3">
      <c r="L17" s="29" t="s">
        <v>41</v>
      </c>
      <c r="M17" s="77">
        <v>0.25</v>
      </c>
      <c r="N17" s="43">
        <f>+N14+P17</f>
        <v>-1.1000000000000001E-2</v>
      </c>
      <c r="O17" s="28" t="s">
        <v>42</v>
      </c>
      <c r="P17" s="54">
        <f>-N12*1.1</f>
        <v>-1.1000000000000001E-2</v>
      </c>
      <c r="Q17" s="1" t="s">
        <v>43</v>
      </c>
      <c r="T17" s="17"/>
      <c r="V17" s="24">
        <f t="shared" si="0"/>
        <v>-1.8000000000000002E-2</v>
      </c>
    </row>
    <row r="18" spans="2:26" ht="18" customHeight="1" thickBot="1" x14ac:dyDescent="0.3">
      <c r="L18" s="50" t="s">
        <v>39</v>
      </c>
      <c r="M18" s="25"/>
      <c r="N18" s="43">
        <f>((+M14*N14+M17*N17)/(M14+M17))+N15</f>
        <v>-3.5000000000000005E-3</v>
      </c>
      <c r="O18" s="28" t="s">
        <v>44</v>
      </c>
      <c r="P18" s="55"/>
      <c r="Q18" s="28"/>
      <c r="T18" s="17"/>
      <c r="V18" s="24">
        <f t="shared" si="0"/>
        <v>-2.0000000000000004E-2</v>
      </c>
    </row>
    <row r="19" spans="2:26" ht="18" customHeight="1" thickBot="1" x14ac:dyDescent="0.3">
      <c r="B19" s="108" t="s">
        <v>80</v>
      </c>
      <c r="C19" s="109"/>
      <c r="D19" s="109"/>
      <c r="E19" s="109"/>
      <c r="F19" s="109"/>
      <c r="G19" s="109"/>
      <c r="H19" s="109"/>
      <c r="I19" s="109"/>
      <c r="J19" s="110"/>
      <c r="L19" s="53"/>
      <c r="M19" s="25"/>
      <c r="N19" s="43"/>
      <c r="O19" s="28"/>
      <c r="P19" s="55"/>
      <c r="Q19" s="28"/>
      <c r="T19" s="17"/>
      <c r="V19" s="24">
        <f t="shared" si="0"/>
        <v>-2.2000000000000006E-2</v>
      </c>
      <c r="X19" s="1" t="s">
        <v>45</v>
      </c>
    </row>
    <row r="20" spans="2:26" ht="18" customHeight="1" thickBot="1" x14ac:dyDescent="0.3">
      <c r="B20" s="111"/>
      <c r="C20" s="112"/>
      <c r="D20" s="112"/>
      <c r="E20" s="112"/>
      <c r="F20" s="112"/>
      <c r="G20" s="112"/>
      <c r="H20" s="112"/>
      <c r="I20" s="112"/>
      <c r="J20" s="113"/>
      <c r="L20" s="29" t="s">
        <v>46</v>
      </c>
      <c r="M20" s="77">
        <v>0.5</v>
      </c>
      <c r="N20" s="43">
        <f>+N17*2</f>
        <v>-2.2000000000000002E-2</v>
      </c>
      <c r="O20" s="1" t="s">
        <v>43</v>
      </c>
      <c r="T20" s="17"/>
      <c r="V20" s="24">
        <f t="shared" si="0"/>
        <v>-2.4000000000000007E-2</v>
      </c>
      <c r="Y20" s="2" t="s">
        <v>47</v>
      </c>
    </row>
    <row r="21" spans="2:26" ht="18" customHeight="1" x14ac:dyDescent="0.25">
      <c r="B21" s="111"/>
      <c r="C21" s="112"/>
      <c r="D21" s="112"/>
      <c r="E21" s="112"/>
      <c r="F21" s="112"/>
      <c r="G21" s="112"/>
      <c r="H21" s="112"/>
      <c r="I21" s="112"/>
      <c r="J21" s="113"/>
      <c r="L21" s="50" t="s">
        <v>39</v>
      </c>
      <c r="M21" s="56"/>
      <c r="N21" s="43">
        <f>((+M14*N14+M17*N17+M20*N20)/(M14+M17+M20))+N15</f>
        <v>-1.1750000000000002E-2</v>
      </c>
      <c r="O21" s="28" t="s">
        <v>44</v>
      </c>
      <c r="T21" s="17"/>
      <c r="V21" s="24">
        <f t="shared" si="0"/>
        <v>-2.6000000000000009E-2</v>
      </c>
      <c r="Y21" s="76">
        <f>+V24--1.175%</f>
        <v>-2.0250000000000015E-2</v>
      </c>
    </row>
    <row r="22" spans="2:26" ht="18" customHeight="1" x14ac:dyDescent="0.25">
      <c r="B22" s="111"/>
      <c r="C22" s="112"/>
      <c r="D22" s="112"/>
      <c r="E22" s="112"/>
      <c r="F22" s="112"/>
      <c r="G22" s="112"/>
      <c r="H22" s="112"/>
      <c r="I22" s="112"/>
      <c r="J22" s="113"/>
      <c r="L22" s="50"/>
      <c r="M22" s="56"/>
      <c r="N22" s="43"/>
      <c r="O22" s="28"/>
      <c r="T22" s="17"/>
      <c r="V22" s="24">
        <f t="shared" si="0"/>
        <v>-2.8000000000000011E-2</v>
      </c>
    </row>
    <row r="23" spans="2:26" ht="18" customHeight="1" x14ac:dyDescent="0.25">
      <c r="B23" s="111"/>
      <c r="C23" s="112"/>
      <c r="D23" s="112"/>
      <c r="E23" s="112"/>
      <c r="F23" s="112"/>
      <c r="G23" s="112"/>
      <c r="H23" s="112"/>
      <c r="I23" s="112"/>
      <c r="J23" s="113"/>
      <c r="L23" s="53" t="s">
        <v>48</v>
      </c>
      <c r="M23" s="56"/>
      <c r="N23" s="43">
        <f>+N20-N12</f>
        <v>-3.2000000000000001E-2</v>
      </c>
      <c r="O23" s="28" t="s">
        <v>49</v>
      </c>
      <c r="T23" s="17"/>
      <c r="V23" s="24">
        <f t="shared" si="0"/>
        <v>-3.0000000000000013E-2</v>
      </c>
    </row>
    <row r="24" spans="2:26" ht="18" customHeight="1" x14ac:dyDescent="0.25">
      <c r="B24" s="111"/>
      <c r="C24" s="112"/>
      <c r="D24" s="112"/>
      <c r="E24" s="112"/>
      <c r="F24" s="112"/>
      <c r="G24" s="112"/>
      <c r="H24" s="112"/>
      <c r="I24" s="112"/>
      <c r="J24" s="113"/>
      <c r="L24" s="53" t="s">
        <v>47</v>
      </c>
      <c r="M24" s="56"/>
      <c r="N24" s="43">
        <f>+N23-N21</f>
        <v>-2.0249999999999997E-2</v>
      </c>
      <c r="O24" s="28"/>
      <c r="R24" s="41"/>
      <c r="T24" s="17"/>
      <c r="V24" s="24">
        <f t="shared" si="0"/>
        <v>-3.2000000000000015E-2</v>
      </c>
      <c r="Y24" s="1" t="s">
        <v>50</v>
      </c>
    </row>
    <row r="25" spans="2:26" ht="18" customHeight="1" x14ac:dyDescent="0.25">
      <c r="B25" s="111"/>
      <c r="C25" s="112"/>
      <c r="D25" s="112"/>
      <c r="E25" s="112"/>
      <c r="F25" s="112"/>
      <c r="G25" s="112"/>
      <c r="H25" s="112"/>
      <c r="I25" s="112"/>
      <c r="J25" s="113"/>
      <c r="L25" s="57" t="s">
        <v>51</v>
      </c>
      <c r="M25" s="38">
        <f>+N25/N7</f>
        <v>0.61728395061728403</v>
      </c>
      <c r="N25" s="58">
        <f>(+N9/N24)*N7</f>
        <v>154.32098765432102</v>
      </c>
      <c r="O25" s="59" t="str">
        <f>IF(N25&gt;N8,"Meer dan TB", "Minder dan TB")</f>
        <v>Meer dan TB</v>
      </c>
      <c r="P25" s="1" t="s">
        <v>52</v>
      </c>
      <c r="T25" s="17"/>
      <c r="V25" s="24"/>
    </row>
    <row r="26" spans="2:26" ht="18" customHeight="1" x14ac:dyDescent="0.25">
      <c r="B26" s="111"/>
      <c r="C26" s="112"/>
      <c r="D26" s="112"/>
      <c r="E26" s="112"/>
      <c r="F26" s="112"/>
      <c r="G26" s="112"/>
      <c r="H26" s="112"/>
      <c r="I26" s="112"/>
      <c r="J26" s="113"/>
      <c r="L26" s="16"/>
      <c r="M26" s="25"/>
      <c r="N26" s="60"/>
      <c r="T26" s="17"/>
      <c r="V26" s="24"/>
    </row>
    <row r="27" spans="2:26" ht="18" customHeight="1" x14ac:dyDescent="0.25">
      <c r="B27" s="111"/>
      <c r="C27" s="112"/>
      <c r="D27" s="112"/>
      <c r="E27" s="112"/>
      <c r="F27" s="112"/>
      <c r="G27" s="112"/>
      <c r="H27" s="112"/>
      <c r="I27" s="112"/>
      <c r="J27" s="113"/>
      <c r="L27" s="29"/>
      <c r="M27" s="2"/>
      <c r="N27" s="30" t="s">
        <v>22</v>
      </c>
      <c r="O27" s="100" t="s">
        <v>53</v>
      </c>
      <c r="P27" s="100" t="s">
        <v>54</v>
      </c>
      <c r="Q27" s="100" t="s">
        <v>26</v>
      </c>
      <c r="R27" s="100" t="s">
        <v>27</v>
      </c>
      <c r="T27" s="17"/>
      <c r="V27" s="24"/>
    </row>
    <row r="28" spans="2:26" ht="18" customHeight="1" x14ac:dyDescent="0.25">
      <c r="B28" s="111"/>
      <c r="C28" s="112"/>
      <c r="D28" s="112"/>
      <c r="E28" s="112"/>
      <c r="F28" s="112"/>
      <c r="G28" s="112"/>
      <c r="H28" s="112"/>
      <c r="I28" s="112"/>
      <c r="J28" s="113"/>
      <c r="L28" s="29"/>
      <c r="M28" s="2"/>
      <c r="N28" s="61"/>
      <c r="O28" s="100"/>
      <c r="P28" s="100"/>
      <c r="Q28" s="100"/>
      <c r="R28" s="100"/>
      <c r="T28" s="17"/>
      <c r="V28" s="24"/>
    </row>
    <row r="29" spans="2:26" ht="18" customHeight="1" x14ac:dyDescent="0.25">
      <c r="B29" s="111"/>
      <c r="C29" s="112"/>
      <c r="D29" s="112"/>
      <c r="E29" s="112"/>
      <c r="F29" s="112"/>
      <c r="G29" s="112"/>
      <c r="H29" s="112"/>
      <c r="I29" s="112"/>
      <c r="J29" s="113"/>
      <c r="L29" s="16" t="s">
        <v>55</v>
      </c>
      <c r="M29" s="33" t="s">
        <v>29</v>
      </c>
      <c r="N29" s="34">
        <f>IF(+N25&lt;N8,+N25,N8)</f>
        <v>125</v>
      </c>
      <c r="O29" s="100"/>
      <c r="P29" s="100"/>
      <c r="Q29" s="100"/>
      <c r="R29" s="100"/>
      <c r="T29" s="17"/>
      <c r="V29" s="24"/>
    </row>
    <row r="30" spans="2:26" ht="18" customHeight="1" x14ac:dyDescent="0.25">
      <c r="B30" s="111"/>
      <c r="C30" s="112"/>
      <c r="D30" s="112"/>
      <c r="E30" s="112"/>
      <c r="F30" s="112"/>
      <c r="G30" s="112"/>
      <c r="H30" s="112"/>
      <c r="I30" s="112"/>
      <c r="J30" s="113"/>
      <c r="L30" s="29" t="s">
        <v>15</v>
      </c>
      <c r="M30" s="62">
        <f>+M14</f>
        <v>0.25</v>
      </c>
      <c r="N30" s="41">
        <f>+N29*M30</f>
        <v>31.25</v>
      </c>
      <c r="O30" s="43">
        <f>+N23</f>
        <v>-3.2000000000000001E-2</v>
      </c>
      <c r="P30" s="43">
        <f>+O30-N15</f>
        <v>-3.4000000000000002E-2</v>
      </c>
      <c r="Q30" s="42">
        <f>+N30*P30</f>
        <v>-1.0625</v>
      </c>
      <c r="R30" s="43">
        <f>+Q30/N7</f>
        <v>-4.2500000000000003E-3</v>
      </c>
      <c r="T30" s="17"/>
      <c r="V30" s="24"/>
    </row>
    <row r="31" spans="2:26" ht="18" customHeight="1" thickBot="1" x14ac:dyDescent="0.3">
      <c r="B31" s="111"/>
      <c r="C31" s="112"/>
      <c r="D31" s="112"/>
      <c r="E31" s="112"/>
      <c r="F31" s="112"/>
      <c r="G31" s="112"/>
      <c r="H31" s="112"/>
      <c r="I31" s="112"/>
      <c r="J31" s="113"/>
      <c r="L31" s="29" t="s">
        <v>56</v>
      </c>
      <c r="M31" s="62">
        <f>+M17</f>
        <v>0.25</v>
      </c>
      <c r="N31" s="41">
        <f>+N29*M31</f>
        <v>31.25</v>
      </c>
      <c r="O31" s="43">
        <f>+N23</f>
        <v>-3.2000000000000001E-2</v>
      </c>
      <c r="P31" s="43">
        <f>+O31-N18</f>
        <v>-2.8500000000000001E-2</v>
      </c>
      <c r="Q31" s="42">
        <f>(+N30+N31)*P31</f>
        <v>-1.78125</v>
      </c>
      <c r="R31" s="43">
        <f>+Q31/N7</f>
        <v>-7.1250000000000003E-3</v>
      </c>
      <c r="T31" s="17"/>
      <c r="V31" s="24"/>
    </row>
    <row r="32" spans="2:26" ht="18" customHeight="1" thickBot="1" x14ac:dyDescent="0.3">
      <c r="B32" s="114"/>
      <c r="C32" s="115"/>
      <c r="D32" s="115"/>
      <c r="E32" s="115"/>
      <c r="F32" s="115"/>
      <c r="G32" s="115"/>
      <c r="H32" s="115"/>
      <c r="I32" s="115"/>
      <c r="J32" s="116"/>
      <c r="L32" s="29" t="s">
        <v>57</v>
      </c>
      <c r="M32" s="62">
        <f>+M20</f>
        <v>0.5</v>
      </c>
      <c r="N32" s="35">
        <f>+N29*M32</f>
        <v>62.5</v>
      </c>
      <c r="O32" s="43">
        <f>+N23</f>
        <v>-3.2000000000000001E-2</v>
      </c>
      <c r="P32" s="43">
        <f>+O32-N21</f>
        <v>-2.0249999999999997E-2</v>
      </c>
      <c r="Q32" s="42">
        <f>(+N30+N31+N32)*P32</f>
        <v>-2.5312499999999996</v>
      </c>
      <c r="R32" s="49">
        <f>+Q32/N7</f>
        <v>-1.0124999999999999E-2</v>
      </c>
      <c r="T32" s="17"/>
      <c r="V32" s="3" t="s">
        <v>9</v>
      </c>
      <c r="W32" s="74">
        <v>250</v>
      </c>
      <c r="Y32" s="3" t="s">
        <v>17</v>
      </c>
      <c r="Z32" s="72">
        <v>-1.2500000000000001E-2</v>
      </c>
    </row>
    <row r="33" spans="2:31" ht="18" customHeight="1" thickBot="1" x14ac:dyDescent="0.3">
      <c r="L33" s="45"/>
      <c r="M33" s="51"/>
      <c r="N33" s="52">
        <f>SUM(N30:N32)</f>
        <v>125</v>
      </c>
      <c r="O33" s="46"/>
      <c r="P33" s="46"/>
      <c r="Q33" s="46"/>
      <c r="R33" s="46"/>
      <c r="S33" s="46"/>
      <c r="T33" s="47"/>
      <c r="V33" s="3" t="s">
        <v>12</v>
      </c>
      <c r="W33" s="75">
        <v>0.5</v>
      </c>
      <c r="Y33" s="3" t="s">
        <v>18</v>
      </c>
      <c r="Z33" s="73">
        <v>0.02</v>
      </c>
    </row>
    <row r="34" spans="2:31" ht="15.95" customHeight="1" thickBot="1" x14ac:dyDescent="0.3"/>
    <row r="35" spans="2:31" ht="30" customHeight="1" thickBot="1" x14ac:dyDescent="0.3">
      <c r="B35" s="13" t="s">
        <v>58</v>
      </c>
      <c r="C35" s="95" t="s">
        <v>59</v>
      </c>
      <c r="D35" s="86"/>
      <c r="E35" s="95"/>
      <c r="F35" s="95"/>
      <c r="G35" s="95"/>
      <c r="H35" s="95"/>
      <c r="I35" s="95"/>
      <c r="J35" s="96"/>
      <c r="L35" s="13" t="s">
        <v>60</v>
      </c>
      <c r="M35" s="97" t="s">
        <v>5</v>
      </c>
      <c r="N35" s="98"/>
      <c r="O35" s="97"/>
      <c r="P35" s="97"/>
      <c r="Q35" s="97"/>
      <c r="R35" s="97"/>
      <c r="S35" s="97"/>
      <c r="T35" s="99"/>
      <c r="V35" s="14" t="s">
        <v>61</v>
      </c>
      <c r="W35" s="92" t="s">
        <v>7</v>
      </c>
      <c r="X35" s="93"/>
      <c r="Y35" s="93"/>
      <c r="Z35" s="94"/>
      <c r="AB35" s="15" t="s">
        <v>8</v>
      </c>
      <c r="AC35" s="86" t="s">
        <v>5</v>
      </c>
      <c r="AD35" s="86"/>
      <c r="AE35" s="87"/>
    </row>
    <row r="36" spans="2:31" ht="18" customHeight="1" thickBot="1" x14ac:dyDescent="0.3">
      <c r="B36" s="16" t="s">
        <v>9</v>
      </c>
      <c r="D36" s="66">
        <v>250</v>
      </c>
      <c r="E36" s="1" t="s">
        <v>10</v>
      </c>
      <c r="J36" s="17"/>
      <c r="L36" s="16" t="s">
        <v>9</v>
      </c>
      <c r="N36" s="82">
        <v>250</v>
      </c>
      <c r="O36" s="1" t="s">
        <v>10</v>
      </c>
      <c r="T36" s="17"/>
      <c r="V36" s="18">
        <v>2E-3</v>
      </c>
      <c r="Y36" s="1" t="s">
        <v>62</v>
      </c>
      <c r="AB36" s="19"/>
      <c r="AC36" s="20"/>
      <c r="AD36" s="20"/>
      <c r="AE36" s="21"/>
    </row>
    <row r="37" spans="2:31" ht="18" customHeight="1" thickBot="1" x14ac:dyDescent="0.3">
      <c r="B37" s="16" t="s">
        <v>12</v>
      </c>
      <c r="C37" s="67">
        <v>0.5</v>
      </c>
      <c r="D37" s="22">
        <f>+D36*C37</f>
        <v>125</v>
      </c>
      <c r="E37" s="1" t="s">
        <v>63</v>
      </c>
      <c r="I37" s="23" t="s">
        <v>14</v>
      </c>
      <c r="J37" s="17"/>
      <c r="L37" s="16" t="s">
        <v>12</v>
      </c>
      <c r="M37" s="81">
        <v>0.5</v>
      </c>
      <c r="N37" s="22">
        <f>+N36*M37</f>
        <v>125</v>
      </c>
      <c r="R37" s="23" t="s">
        <v>14</v>
      </c>
      <c r="T37" s="17"/>
      <c r="V37" s="24">
        <f t="shared" ref="V37:V70" si="1">+V36-0.2%</f>
        <v>0</v>
      </c>
      <c r="X37" s="1" t="s">
        <v>15</v>
      </c>
      <c r="AB37" s="16" t="s">
        <v>16</v>
      </c>
      <c r="AC37" s="70">
        <v>1.2500000000000001E-2</v>
      </c>
      <c r="AE37" s="17"/>
    </row>
    <row r="38" spans="2:31" ht="18" customHeight="1" thickBot="1" x14ac:dyDescent="0.3">
      <c r="B38" s="16" t="s">
        <v>64</v>
      </c>
      <c r="C38" s="25"/>
      <c r="D38" s="68">
        <v>-1.2500000000000001E-2</v>
      </c>
      <c r="J38" s="17"/>
      <c r="L38" s="16" t="s">
        <v>17</v>
      </c>
      <c r="M38" s="25"/>
      <c r="N38" s="80">
        <v>-1.2500000000000001E-2</v>
      </c>
      <c r="T38" s="17"/>
      <c r="V38" s="24">
        <f t="shared" si="1"/>
        <v>-2E-3</v>
      </c>
      <c r="AB38" s="16" t="s">
        <v>18</v>
      </c>
      <c r="AC38" s="70">
        <f>+N41</f>
        <v>0.02</v>
      </c>
      <c r="AE38" s="17"/>
    </row>
    <row r="39" spans="2:31" ht="18" customHeight="1" x14ac:dyDescent="0.25">
      <c r="B39" s="16"/>
      <c r="C39" s="25"/>
      <c r="D39" s="26"/>
      <c r="J39" s="17"/>
      <c r="L39" s="16"/>
      <c r="M39" s="25"/>
      <c r="N39" s="26"/>
      <c r="T39" s="17"/>
      <c r="V39" s="24">
        <f t="shared" si="1"/>
        <v>-4.0000000000000001E-3</v>
      </c>
      <c r="AB39" s="27" t="s">
        <v>20</v>
      </c>
      <c r="AD39" s="28" t="s">
        <v>65</v>
      </c>
      <c r="AE39" s="17"/>
    </row>
    <row r="40" spans="2:31" ht="24.95" customHeight="1" thickBot="1" x14ac:dyDescent="0.3">
      <c r="B40" s="29"/>
      <c r="C40" s="2"/>
      <c r="D40" s="30" t="s">
        <v>22</v>
      </c>
      <c r="E40" s="32" t="s">
        <v>23</v>
      </c>
      <c r="F40" s="32" t="s">
        <v>24</v>
      </c>
      <c r="G40" s="88" t="s">
        <v>25</v>
      </c>
      <c r="H40" s="100" t="s">
        <v>26</v>
      </c>
      <c r="I40" s="100" t="s">
        <v>27</v>
      </c>
      <c r="J40" s="17"/>
      <c r="L40" s="16" t="s">
        <v>28</v>
      </c>
      <c r="M40" s="25"/>
      <c r="N40" s="26"/>
      <c r="T40" s="17"/>
      <c r="V40" s="24">
        <f t="shared" si="1"/>
        <v>-6.0000000000000001E-3</v>
      </c>
      <c r="AB40" s="29"/>
      <c r="AD40" s="28"/>
      <c r="AE40" s="17"/>
    </row>
    <row r="41" spans="2:31" ht="24.95" customHeight="1" thickBot="1" x14ac:dyDescent="0.3">
      <c r="B41" s="29"/>
      <c r="C41" s="33" t="s">
        <v>29</v>
      </c>
      <c r="D41" s="34">
        <f>+C37*D36</f>
        <v>125</v>
      </c>
      <c r="E41" s="36">
        <f>+C37*D36</f>
        <v>125</v>
      </c>
      <c r="F41" s="36">
        <v>0</v>
      </c>
      <c r="G41" s="89"/>
      <c r="H41" s="100"/>
      <c r="I41" s="100"/>
      <c r="J41" s="17"/>
      <c r="L41" s="16" t="s">
        <v>18</v>
      </c>
      <c r="M41" s="25"/>
      <c r="N41" s="79">
        <v>0.02</v>
      </c>
      <c r="T41" s="17"/>
      <c r="V41" s="24">
        <f t="shared" si="1"/>
        <v>-8.0000000000000002E-3</v>
      </c>
      <c r="Y41" s="1" t="s">
        <v>19</v>
      </c>
      <c r="AB41" s="37" t="s">
        <v>30</v>
      </c>
      <c r="AC41" s="38">
        <f>+AC37/(2*AC38)</f>
        <v>0.3125</v>
      </c>
      <c r="AD41" s="39" t="s">
        <v>31</v>
      </c>
      <c r="AE41" s="40"/>
    </row>
    <row r="42" spans="2:31" ht="18" customHeight="1" thickBot="1" x14ac:dyDescent="0.3">
      <c r="B42" s="29" t="s">
        <v>32</v>
      </c>
      <c r="C42" s="69">
        <v>0.25</v>
      </c>
      <c r="D42" s="41">
        <f>+D41*C42</f>
        <v>31.25</v>
      </c>
      <c r="E42" s="41">
        <f>+E41*C42</f>
        <v>31.25</v>
      </c>
      <c r="F42" s="41">
        <f>+F41*C42</f>
        <v>0</v>
      </c>
      <c r="G42" s="83">
        <f>+D38*1/C37*1/C42</f>
        <v>-0.1</v>
      </c>
      <c r="H42" s="42">
        <f>+G42*E42</f>
        <v>-3.125</v>
      </c>
      <c r="I42" s="43">
        <f>+H42/D36</f>
        <v>-1.2500000000000001E-2</v>
      </c>
      <c r="J42" s="17"/>
      <c r="L42" s="16"/>
      <c r="M42" s="33" t="s">
        <v>29</v>
      </c>
      <c r="N42" s="44" t="s">
        <v>33</v>
      </c>
      <c r="T42" s="17"/>
      <c r="V42" s="24">
        <f t="shared" si="1"/>
        <v>-0.01</v>
      </c>
      <c r="AB42" s="45"/>
      <c r="AC42" s="46"/>
      <c r="AD42" s="46"/>
      <c r="AE42" s="47"/>
    </row>
    <row r="43" spans="2:31" ht="18" customHeight="1" thickBot="1" x14ac:dyDescent="0.3">
      <c r="B43" s="29" t="s">
        <v>35</v>
      </c>
      <c r="C43" s="69">
        <v>0.25</v>
      </c>
      <c r="D43" s="41">
        <f>+D41*C43</f>
        <v>31.25</v>
      </c>
      <c r="E43" s="41">
        <f>+E41*C43</f>
        <v>31.25</v>
      </c>
      <c r="F43" s="41">
        <f>+F41*C43</f>
        <v>0</v>
      </c>
      <c r="G43" s="84">
        <f>+D38*1/C37*1/(C42+C43)</f>
        <v>-0.05</v>
      </c>
      <c r="H43" s="42">
        <f>+G43*(E43+E42)</f>
        <v>-3.125</v>
      </c>
      <c r="I43" s="43">
        <f>+H43/D36</f>
        <v>-1.2500000000000001E-2</v>
      </c>
      <c r="J43" s="17"/>
      <c r="L43" s="29" t="s">
        <v>32</v>
      </c>
      <c r="M43" s="77">
        <v>0.25</v>
      </c>
      <c r="N43" s="48">
        <v>0</v>
      </c>
      <c r="O43" s="1" t="s">
        <v>36</v>
      </c>
      <c r="T43" s="17"/>
      <c r="V43" s="24">
        <f t="shared" si="1"/>
        <v>-1.2E-2</v>
      </c>
    </row>
    <row r="44" spans="2:31" ht="18" customHeight="1" thickBot="1" x14ac:dyDescent="0.3">
      <c r="B44" s="29" t="s">
        <v>38</v>
      </c>
      <c r="C44" s="69">
        <v>0.5</v>
      </c>
      <c r="D44" s="35">
        <f>+D41*C44</f>
        <v>62.5</v>
      </c>
      <c r="E44" s="41">
        <f>+E41*C44</f>
        <v>62.5</v>
      </c>
      <c r="F44" s="41">
        <f>+F41*C44</f>
        <v>0</v>
      </c>
      <c r="G44" s="85">
        <f>+D38*1/C37*1/(C42+C43+C44)</f>
        <v>-2.5000000000000001E-2</v>
      </c>
      <c r="H44" s="42">
        <f>+G44*(+E42+E43+E44)</f>
        <v>-3.125</v>
      </c>
      <c r="I44" s="49">
        <f>+H44/D36</f>
        <v>-1.2500000000000001E-2</v>
      </c>
      <c r="J44" s="17"/>
      <c r="L44" s="50" t="s">
        <v>39</v>
      </c>
      <c r="M44" s="25"/>
      <c r="N44" s="78">
        <v>2E-3</v>
      </c>
      <c r="O44" s="1" t="s">
        <v>40</v>
      </c>
      <c r="T44" s="17"/>
      <c r="V44" s="24">
        <f t="shared" si="1"/>
        <v>-1.4E-2</v>
      </c>
    </row>
    <row r="45" spans="2:31" ht="18" customHeight="1" thickBot="1" x14ac:dyDescent="0.3">
      <c r="B45" s="45"/>
      <c r="C45" s="46"/>
      <c r="D45" s="52">
        <f>SUM(D42:D44)</f>
        <v>125</v>
      </c>
      <c r="E45" s="46"/>
      <c r="F45" s="46"/>
      <c r="G45" s="46"/>
      <c r="H45" s="46"/>
      <c r="I45" s="46"/>
      <c r="J45" s="47"/>
      <c r="L45" s="53"/>
      <c r="M45" s="25"/>
      <c r="N45" s="43"/>
      <c r="T45" s="17"/>
      <c r="V45" s="24">
        <f t="shared" si="1"/>
        <v>-1.6E-2</v>
      </c>
    </row>
    <row r="46" spans="2:31" ht="18" customHeight="1" thickBot="1" x14ac:dyDescent="0.3">
      <c r="L46" s="29" t="s">
        <v>41</v>
      </c>
      <c r="M46" s="77">
        <v>0.25</v>
      </c>
      <c r="N46" s="43">
        <f>+N43+P46</f>
        <v>-2.2000000000000002E-2</v>
      </c>
      <c r="O46" s="28" t="s">
        <v>66</v>
      </c>
      <c r="P46" s="54">
        <f>-N41*1.1</f>
        <v>-2.2000000000000002E-2</v>
      </c>
      <c r="Q46" s="1" t="s">
        <v>43</v>
      </c>
      <c r="T46" s="17"/>
      <c r="V46" s="24">
        <f t="shared" si="1"/>
        <v>-1.8000000000000002E-2</v>
      </c>
    </row>
    <row r="47" spans="2:31" ht="18" customHeight="1" x14ac:dyDescent="0.25">
      <c r="L47" s="50" t="s">
        <v>39</v>
      </c>
      <c r="M47" s="25"/>
      <c r="N47" s="43">
        <f>((+M43*N43+M46*N46)/(M43+M46))+N44</f>
        <v>-9.0000000000000011E-3</v>
      </c>
      <c r="O47" s="28" t="s">
        <v>44</v>
      </c>
      <c r="P47" s="55"/>
      <c r="Q47" s="28"/>
      <c r="T47" s="17"/>
      <c r="V47" s="24">
        <f t="shared" si="1"/>
        <v>-2.0000000000000004E-2</v>
      </c>
    </row>
    <row r="48" spans="2:31" ht="18" customHeight="1" thickBot="1" x14ac:dyDescent="0.3">
      <c r="L48" s="53"/>
      <c r="M48" s="25"/>
      <c r="N48" s="43"/>
      <c r="O48" s="28"/>
      <c r="P48" s="55"/>
      <c r="Q48" s="28"/>
      <c r="T48" s="17"/>
      <c r="V48" s="24">
        <f t="shared" si="1"/>
        <v>-2.2000000000000006E-2</v>
      </c>
      <c r="X48" s="63" t="s">
        <v>34</v>
      </c>
    </row>
    <row r="49" spans="2:25" ht="18" customHeight="1" thickBot="1" x14ac:dyDescent="0.3">
      <c r="L49" s="29" t="s">
        <v>46</v>
      </c>
      <c r="M49" s="77">
        <v>0.5</v>
      </c>
      <c r="N49" s="43">
        <f>+N46*2</f>
        <v>-4.4000000000000004E-2</v>
      </c>
      <c r="O49" s="1" t="s">
        <v>43</v>
      </c>
      <c r="T49" s="17"/>
      <c r="V49" s="24">
        <f t="shared" si="1"/>
        <v>-2.4000000000000007E-2</v>
      </c>
    </row>
    <row r="50" spans="2:25" ht="18" customHeight="1" x14ac:dyDescent="0.25">
      <c r="L50" s="50" t="s">
        <v>39</v>
      </c>
      <c r="M50" s="56"/>
      <c r="N50" s="43">
        <f>((+M43*N43+M46*N46+M49*N49)/(M43+M46+M49))+N44</f>
        <v>-2.5500000000000002E-2</v>
      </c>
      <c r="O50" s="28" t="s">
        <v>44</v>
      </c>
      <c r="T50" s="17"/>
      <c r="V50" s="24">
        <f t="shared" si="1"/>
        <v>-2.6000000000000009E-2</v>
      </c>
      <c r="Y50" s="63" t="s">
        <v>37</v>
      </c>
    </row>
    <row r="51" spans="2:25" ht="18" customHeight="1" x14ac:dyDescent="0.25">
      <c r="L51" s="50"/>
      <c r="M51" s="56"/>
      <c r="N51" s="43"/>
      <c r="O51" s="28"/>
      <c r="T51" s="17"/>
      <c r="V51" s="24">
        <f t="shared" si="1"/>
        <v>-2.8000000000000011E-2</v>
      </c>
    </row>
    <row r="52" spans="2:25" ht="18" customHeight="1" x14ac:dyDescent="0.25">
      <c r="L52" s="53" t="s">
        <v>48</v>
      </c>
      <c r="M52" s="56"/>
      <c r="N52" s="43">
        <f>+N49-N41</f>
        <v>-6.4000000000000001E-2</v>
      </c>
      <c r="O52" s="28" t="s">
        <v>49</v>
      </c>
      <c r="T52" s="17"/>
      <c r="V52" s="24">
        <f t="shared" si="1"/>
        <v>-3.0000000000000013E-2</v>
      </c>
    </row>
    <row r="53" spans="2:25" ht="18" customHeight="1" x14ac:dyDescent="0.25">
      <c r="B53" s="64"/>
      <c r="L53" s="53" t="s">
        <v>47</v>
      </c>
      <c r="M53" s="56"/>
      <c r="N53" s="43">
        <f>+N52-N50</f>
        <v>-3.85E-2</v>
      </c>
      <c r="O53" s="28"/>
      <c r="T53" s="17"/>
      <c r="V53" s="24">
        <f t="shared" si="1"/>
        <v>-3.2000000000000015E-2</v>
      </c>
    </row>
    <row r="54" spans="2:25" ht="18" customHeight="1" x14ac:dyDescent="0.25">
      <c r="B54" s="64"/>
      <c r="L54" s="57" t="s">
        <v>51</v>
      </c>
      <c r="M54" s="38">
        <f>+N54/N36</f>
        <v>0.32467532467532467</v>
      </c>
      <c r="N54" s="58">
        <f>(+N38/N53)*N36</f>
        <v>81.168831168831161</v>
      </c>
      <c r="O54" s="59" t="str">
        <f>IF(N54&gt;N37,"Meer dan TB", "Minder dan TB")</f>
        <v>Minder dan TB</v>
      </c>
      <c r="P54" s="1" t="s">
        <v>52</v>
      </c>
      <c r="T54" s="17"/>
      <c r="V54" s="24">
        <f t="shared" si="1"/>
        <v>-3.4000000000000016E-2</v>
      </c>
    </row>
    <row r="55" spans="2:25" ht="18" customHeight="1" x14ac:dyDescent="0.25">
      <c r="B55" s="64"/>
      <c r="L55" s="16"/>
      <c r="M55" s="25"/>
      <c r="N55" s="60"/>
      <c r="T55" s="17"/>
      <c r="V55" s="24">
        <f t="shared" si="1"/>
        <v>-3.6000000000000018E-2</v>
      </c>
    </row>
    <row r="56" spans="2:25" ht="18" customHeight="1" x14ac:dyDescent="0.25">
      <c r="B56" s="64"/>
      <c r="L56" s="29"/>
      <c r="M56" s="2"/>
      <c r="N56" s="30" t="s">
        <v>22</v>
      </c>
      <c r="O56" s="90" t="s">
        <v>53</v>
      </c>
      <c r="P56" s="90" t="s">
        <v>54</v>
      </c>
      <c r="Q56" s="90" t="s">
        <v>26</v>
      </c>
      <c r="R56" s="90" t="s">
        <v>27</v>
      </c>
      <c r="T56" s="17"/>
      <c r="V56" s="24">
        <f t="shared" si="1"/>
        <v>-3.800000000000002E-2</v>
      </c>
    </row>
    <row r="57" spans="2:25" ht="18" customHeight="1" x14ac:dyDescent="0.25">
      <c r="B57" s="64"/>
      <c r="L57" s="29"/>
      <c r="M57" s="2"/>
      <c r="N57" s="61"/>
      <c r="O57" s="101"/>
      <c r="P57" s="101"/>
      <c r="Q57" s="101"/>
      <c r="R57" s="101"/>
      <c r="T57" s="17"/>
      <c r="V57" s="24">
        <f>+V56-0.2%</f>
        <v>-4.0000000000000022E-2</v>
      </c>
      <c r="Y57" s="2" t="s">
        <v>47</v>
      </c>
    </row>
    <row r="58" spans="2:25" ht="18" customHeight="1" x14ac:dyDescent="0.25">
      <c r="L58" s="16" t="s">
        <v>55</v>
      </c>
      <c r="M58" s="33" t="s">
        <v>29</v>
      </c>
      <c r="N58" s="65">
        <f>IF(+N54&lt;N37,+N54,N37)</f>
        <v>81.168831168831161</v>
      </c>
      <c r="O58" s="91"/>
      <c r="P58" s="91"/>
      <c r="Q58" s="91"/>
      <c r="R58" s="91"/>
      <c r="T58" s="17"/>
      <c r="V58" s="24">
        <f>+V57-0.2%</f>
        <v>-4.2000000000000023E-2</v>
      </c>
      <c r="Y58" s="76">
        <f>+V69--2.55%</f>
        <v>-3.8500000000000048E-2</v>
      </c>
    </row>
    <row r="59" spans="2:25" ht="18" customHeight="1" x14ac:dyDescent="0.25">
      <c r="L59" s="29" t="s">
        <v>15</v>
      </c>
      <c r="M59" s="62">
        <f>+M43</f>
        <v>0.25</v>
      </c>
      <c r="N59" s="41">
        <f>+N58*M59</f>
        <v>20.29220779220779</v>
      </c>
      <c r="O59" s="43">
        <f>+N52</f>
        <v>-6.4000000000000001E-2</v>
      </c>
      <c r="P59" s="43">
        <f>+O59-N44</f>
        <v>-6.6000000000000003E-2</v>
      </c>
      <c r="Q59" s="42">
        <f>+N59*P59</f>
        <v>-1.3392857142857142</v>
      </c>
      <c r="R59" s="43">
        <f>+Q59/N36</f>
        <v>-5.3571428571428572E-3</v>
      </c>
      <c r="T59" s="17"/>
      <c r="V59" s="24">
        <f t="shared" si="1"/>
        <v>-4.4000000000000025E-2</v>
      </c>
      <c r="X59" s="1" t="s">
        <v>45</v>
      </c>
    </row>
    <row r="60" spans="2:25" ht="18" customHeight="1" thickBot="1" x14ac:dyDescent="0.3">
      <c r="L60" s="29" t="s">
        <v>56</v>
      </c>
      <c r="M60" s="62">
        <f>+M46</f>
        <v>0.25</v>
      </c>
      <c r="N60" s="41">
        <f>+N58*M60</f>
        <v>20.29220779220779</v>
      </c>
      <c r="O60" s="43">
        <f>+N52</f>
        <v>-6.4000000000000001E-2</v>
      </c>
      <c r="P60" s="43">
        <f>+O60-N47</f>
        <v>-5.5E-2</v>
      </c>
      <c r="Q60" s="42">
        <f>(+N59+N60)*P60</f>
        <v>-2.2321428571428568</v>
      </c>
      <c r="R60" s="43">
        <f>+Q60/N36</f>
        <v>-8.9285714285714263E-3</v>
      </c>
      <c r="T60" s="17"/>
      <c r="V60" s="24">
        <f t="shared" si="1"/>
        <v>-4.6000000000000027E-2</v>
      </c>
    </row>
    <row r="61" spans="2:25" ht="18" customHeight="1" thickBot="1" x14ac:dyDescent="0.3">
      <c r="L61" s="29" t="s">
        <v>57</v>
      </c>
      <c r="M61" s="62">
        <f>+M49</f>
        <v>0.5</v>
      </c>
      <c r="N61" s="35">
        <f>+N58*M61</f>
        <v>40.584415584415581</v>
      </c>
      <c r="O61" s="43">
        <f>+N52</f>
        <v>-6.4000000000000001E-2</v>
      </c>
      <c r="P61" s="43">
        <f>+O61-N50</f>
        <v>-3.85E-2</v>
      </c>
      <c r="Q61" s="42">
        <f>(+N59+N60+N61)*P61</f>
        <v>-3.1249999999999996</v>
      </c>
      <c r="R61" s="49">
        <f>+Q61/N36</f>
        <v>-1.2499999999999999E-2</v>
      </c>
      <c r="T61" s="17"/>
      <c r="V61" s="24">
        <f t="shared" si="1"/>
        <v>-4.8000000000000029E-2</v>
      </c>
    </row>
    <row r="62" spans="2:25" ht="18" customHeight="1" thickBot="1" x14ac:dyDescent="0.3">
      <c r="L62" s="45"/>
      <c r="M62" s="51"/>
      <c r="N62" s="52">
        <f>SUM(N59:N61)</f>
        <v>81.168831168831161</v>
      </c>
      <c r="O62" s="46"/>
      <c r="P62" s="46"/>
      <c r="Q62" s="46"/>
      <c r="R62" s="46"/>
      <c r="S62" s="46"/>
      <c r="T62" s="47"/>
      <c r="V62" s="24">
        <f t="shared" si="1"/>
        <v>-5.0000000000000031E-2</v>
      </c>
    </row>
    <row r="63" spans="2:25" x14ac:dyDescent="0.25">
      <c r="V63" s="24">
        <f t="shared" si="1"/>
        <v>-5.2000000000000032E-2</v>
      </c>
    </row>
    <row r="64" spans="2:25" x14ac:dyDescent="0.25">
      <c r="V64" s="24">
        <f t="shared" si="1"/>
        <v>-5.4000000000000034E-2</v>
      </c>
    </row>
    <row r="65" spans="22:25" x14ac:dyDescent="0.25">
      <c r="V65" s="24">
        <f t="shared" si="1"/>
        <v>-5.6000000000000036E-2</v>
      </c>
    </row>
    <row r="66" spans="22:25" x14ac:dyDescent="0.25">
      <c r="V66" s="24">
        <f t="shared" si="1"/>
        <v>-5.8000000000000038E-2</v>
      </c>
    </row>
    <row r="67" spans="22:25" x14ac:dyDescent="0.25">
      <c r="V67" s="24">
        <f t="shared" si="1"/>
        <v>-6.0000000000000039E-2</v>
      </c>
    </row>
    <row r="68" spans="22:25" x14ac:dyDescent="0.25">
      <c r="V68" s="24">
        <f t="shared" si="1"/>
        <v>-6.2000000000000041E-2</v>
      </c>
    </row>
    <row r="69" spans="22:25" x14ac:dyDescent="0.25">
      <c r="V69" s="24">
        <f t="shared" si="1"/>
        <v>-6.4000000000000043E-2</v>
      </c>
      <c r="Y69" s="1" t="s">
        <v>50</v>
      </c>
    </row>
    <row r="70" spans="22:25" x14ac:dyDescent="0.25">
      <c r="V70" s="24">
        <f t="shared" si="1"/>
        <v>-6.6000000000000045E-2</v>
      </c>
    </row>
    <row r="81" ht="14.45" customHeight="1" x14ac:dyDescent="0.25"/>
  </sheetData>
  <mergeCells count="26">
    <mergeCell ref="R56:R58"/>
    <mergeCell ref="G40:G41"/>
    <mergeCell ref="H40:H41"/>
    <mergeCell ref="I40:I41"/>
    <mergeCell ref="V4:Z5"/>
    <mergeCell ref="Q27:Q29"/>
    <mergeCell ref="B19:J32"/>
    <mergeCell ref="O56:O58"/>
    <mergeCell ref="P56:P58"/>
    <mergeCell ref="Q56:Q58"/>
    <mergeCell ref="W35:Z35"/>
    <mergeCell ref="L4:R4"/>
    <mergeCell ref="B4:H4"/>
    <mergeCell ref="AC6:AE6"/>
    <mergeCell ref="AC35:AE35"/>
    <mergeCell ref="G11:G12"/>
    <mergeCell ref="H11:H12"/>
    <mergeCell ref="I11:I12"/>
    <mergeCell ref="W6:Z6"/>
    <mergeCell ref="C35:J35"/>
    <mergeCell ref="C6:J6"/>
    <mergeCell ref="M6:T6"/>
    <mergeCell ref="M35:T35"/>
    <mergeCell ref="O27:O29"/>
    <mergeCell ref="R27:R29"/>
    <mergeCell ref="P27:P29"/>
  </mergeCells>
  <conditionalFormatting sqref="M25">
    <cfRule type="cellIs" dxfId="9" priority="6" operator="lessThan">
      <formula>$M$8</formula>
    </cfRule>
  </conditionalFormatting>
  <conditionalFormatting sqref="M54">
    <cfRule type="cellIs" dxfId="8" priority="8" operator="lessThan">
      <formula>$M$37</formula>
    </cfRule>
  </conditionalFormatting>
  <conditionalFormatting sqref="N25">
    <cfRule type="cellIs" dxfId="7" priority="2" operator="lessThan">
      <formula>$N$8</formula>
    </cfRule>
  </conditionalFormatting>
  <conditionalFormatting sqref="N29">
    <cfRule type="cellIs" dxfId="6" priority="4" operator="lessThan">
      <formula>$N$8</formula>
    </cfRule>
  </conditionalFormatting>
  <conditionalFormatting sqref="N54">
    <cfRule type="cellIs" dxfId="5" priority="1" operator="lessThan">
      <formula>$N$8</formula>
    </cfRule>
  </conditionalFormatting>
  <conditionalFormatting sqref="N58">
    <cfRule type="cellIs" dxfId="4" priority="3" operator="lessThan">
      <formula>$N$8</formula>
    </cfRule>
  </conditionalFormatting>
  <conditionalFormatting sqref="O25">
    <cfRule type="expression" dxfId="3" priority="10">
      <formula>$N$25&gt;$N$8</formula>
    </cfRule>
  </conditionalFormatting>
  <conditionalFormatting sqref="O54">
    <cfRule type="expression" dxfId="2" priority="9">
      <formula>$N$54&gt;$N$37</formula>
    </cfRule>
  </conditionalFormatting>
  <conditionalFormatting sqref="AC12">
    <cfRule type="cellIs" dxfId="1" priority="5" operator="lessThan">
      <formula>$M$8</formula>
    </cfRule>
  </conditionalFormatting>
  <conditionalFormatting sqref="AC41">
    <cfRule type="cellIs" dxfId="0" priority="7" operator="lessThan">
      <formula>$M$37</formula>
    </cfRule>
  </conditionalFormatting>
  <pageMargins left="0.23622047244094491" right="0.23622047244094491" top="0.74803149606299213" bottom="0.74803149606299213" header="0.31496062992125984" footer="0.31496062992125984"/>
  <pageSetup paperSize="9" scale="32" orientation="landscape" r:id="rId1"/>
  <headerFooter>
    <oddFooter>&amp;LBart van Dam&amp;C&amp;F&amp;R&amp;D</oddFooter>
  </headerFooter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3A11C6-A721-4983-94DF-C0BB839E9EE9}">
  <sheetPr codeName="Blad1"/>
  <dimension ref="A1:C16"/>
  <sheetViews>
    <sheetView workbookViewId="0">
      <selection activeCell="C6" sqref="C6"/>
    </sheetView>
  </sheetViews>
  <sheetFormatPr defaultRowHeight="15" x14ac:dyDescent="0.25"/>
  <cols>
    <col min="1" max="1" width="9.140625" style="1"/>
    <col min="2" max="2" width="11.85546875" style="2" customWidth="1"/>
    <col min="3" max="3" width="132.5703125" style="7" customWidth="1"/>
    <col min="4" max="16384" width="9.140625" style="1"/>
  </cols>
  <sheetData>
    <row r="1" spans="1:3" ht="20.100000000000001" customHeight="1" x14ac:dyDescent="0.25">
      <c r="A1" s="3" t="s">
        <v>69</v>
      </c>
      <c r="B1" s="8" t="s">
        <v>70</v>
      </c>
      <c r="C1" s="4" t="s">
        <v>71</v>
      </c>
    </row>
    <row r="2" spans="1:3" x14ac:dyDescent="0.25">
      <c r="A2" s="5" t="s">
        <v>67</v>
      </c>
      <c r="B2" s="9">
        <v>45152</v>
      </c>
      <c r="C2" s="6" t="s">
        <v>68</v>
      </c>
    </row>
    <row r="3" spans="1:3" x14ac:dyDescent="0.25">
      <c r="A3" s="5" t="s">
        <v>73</v>
      </c>
      <c r="B3" s="9">
        <v>45397</v>
      </c>
      <c r="C3" s="6" t="s">
        <v>74</v>
      </c>
    </row>
    <row r="4" spans="1:3" x14ac:dyDescent="0.25">
      <c r="A4" s="5" t="s">
        <v>75</v>
      </c>
      <c r="B4" s="9">
        <v>45340</v>
      </c>
      <c r="C4" s="6" t="s">
        <v>76</v>
      </c>
    </row>
    <row r="5" spans="1:3" x14ac:dyDescent="0.25">
      <c r="A5" s="5" t="s">
        <v>78</v>
      </c>
      <c r="B5" s="9">
        <v>45341</v>
      </c>
      <c r="C5" s="6" t="s">
        <v>79</v>
      </c>
    </row>
    <row r="6" spans="1:3" x14ac:dyDescent="0.25">
      <c r="A6" s="5"/>
      <c r="B6" s="10"/>
      <c r="C6" s="6"/>
    </row>
    <row r="7" spans="1:3" x14ac:dyDescent="0.25">
      <c r="A7" s="5"/>
      <c r="B7" s="10"/>
      <c r="C7" s="6"/>
    </row>
    <row r="8" spans="1:3" x14ac:dyDescent="0.25">
      <c r="A8" s="5"/>
      <c r="B8" s="10"/>
      <c r="C8" s="6"/>
    </row>
    <row r="9" spans="1:3" x14ac:dyDescent="0.25">
      <c r="A9" s="5"/>
      <c r="B9" s="10"/>
      <c r="C9" s="6"/>
    </row>
    <row r="10" spans="1:3" x14ac:dyDescent="0.25">
      <c r="A10" s="5"/>
      <c r="B10" s="10"/>
      <c r="C10" s="6"/>
    </row>
    <row r="11" spans="1:3" x14ac:dyDescent="0.25">
      <c r="A11" s="5"/>
      <c r="B11" s="10"/>
      <c r="C11" s="6"/>
    </row>
    <row r="12" spans="1:3" x14ac:dyDescent="0.25">
      <c r="A12" s="5"/>
      <c r="B12" s="10"/>
      <c r="C12" s="6"/>
    </row>
    <row r="13" spans="1:3" x14ac:dyDescent="0.25">
      <c r="A13" s="5"/>
      <c r="B13" s="10"/>
      <c r="C13" s="6"/>
    </row>
    <row r="14" spans="1:3" x14ac:dyDescent="0.25">
      <c r="A14" s="5"/>
      <c r="B14" s="10"/>
      <c r="C14" s="6"/>
    </row>
    <row r="15" spans="1:3" x14ac:dyDescent="0.25">
      <c r="A15" s="5"/>
      <c r="B15" s="10"/>
      <c r="C15" s="6"/>
    </row>
    <row r="16" spans="1:3" x14ac:dyDescent="0.25">
      <c r="A16" s="5"/>
      <c r="B16" s="10"/>
      <c r="C16" s="6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Werkbladen</vt:lpstr>
      </vt:variant>
      <vt:variant>
        <vt:i4>2</vt:i4>
      </vt:variant>
    </vt:vector>
  </HeadingPairs>
  <TitlesOfParts>
    <vt:vector size="2" baseType="lpstr">
      <vt:lpstr>SL positie en-of Max instap</vt:lpstr>
      <vt:lpstr>Versiebeheer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Bart van Dam</dc:creator>
  <cp:keywords/>
  <dc:description/>
  <cp:lastModifiedBy>Bart van Dam</cp:lastModifiedBy>
  <cp:revision/>
  <cp:lastPrinted>2023-10-15T20:22:42Z</cp:lastPrinted>
  <dcterms:created xsi:type="dcterms:W3CDTF">2023-05-11T13:53:17Z</dcterms:created>
  <dcterms:modified xsi:type="dcterms:W3CDTF">2024-02-21T14:56:10Z</dcterms:modified>
  <cp:category/>
  <cp:contentStatus/>
</cp:coreProperties>
</file>